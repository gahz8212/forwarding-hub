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rse\Desktop\"/>
    </mc:Choice>
  </mc:AlternateContent>
  <xr:revisionPtr revIDLastSave="0" documentId="8_{0869DBF7-F216-4E8A-8677-BF844982AE90}" xr6:coauthVersionLast="47" xr6:coauthVersionMax="47" xr10:uidLastSave="{00000000-0000-0000-0000-000000000000}"/>
  <bookViews>
    <workbookView xWindow="32025" yWindow="1740" windowWidth="17280" windowHeight="9885" xr2:uid="{A6757BD3-2BFF-4AF1-AAEB-7AEDE11CD7DB}"/>
  </bookViews>
  <sheets>
    <sheet name="invoice" sheetId="1" r:id="rId1"/>
  </sheets>
  <externalReferences>
    <externalReference r:id="rId2"/>
  </externalReferences>
  <definedNames>
    <definedName name="_xlnm.Print_Area" localSheetId="0">invoice!$A$1:$Q$116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15" i="1" l="1"/>
  <c r="K114" i="1"/>
  <c r="P89" i="1"/>
  <c r="N114" i="1" s="1"/>
</calcChain>
</file>

<file path=xl/sharedStrings.xml><?xml version="1.0" encoding="utf-8"?>
<sst xmlns="http://schemas.openxmlformats.org/spreadsheetml/2006/main" count="192" uniqueCount="109">
  <si>
    <t>COMMERCIAL INVOICE</t>
    <phoneticPr fontId="4" type="noConversion"/>
  </si>
  <si>
    <t>EK1716</t>
  </si>
  <si>
    <t>TOTAL</t>
  </si>
  <si>
    <t>1. Shipper / Exporter</t>
  </si>
  <si>
    <t>8. No. &amp; Date of Invoice</t>
    <phoneticPr fontId="4" type="noConversion"/>
  </si>
  <si>
    <t xml:space="preserve">EUNKI ELECTRONICS CO., LTD. </t>
    <phoneticPr fontId="4" type="noConversion"/>
  </si>
  <si>
    <t>TEL : +82-(0)32-466-2687</t>
    <phoneticPr fontId="4" type="noConversion"/>
  </si>
  <si>
    <t xml:space="preserve"> EK2412   &amp;   November 04, 2024</t>
    <phoneticPr fontId="4" type="noConversion"/>
  </si>
  <si>
    <t xml:space="preserve">#812, Chunui Techno-park 3, </t>
    <phoneticPr fontId="14" type="noConversion"/>
  </si>
  <si>
    <t>1 OF 2</t>
  </si>
  <si>
    <t>Jomaru-ro 385gil 80, Bucheon-si, Gyeonggi-do 14558, KOREA</t>
    <phoneticPr fontId="14" type="noConversion"/>
  </si>
  <si>
    <t>9. Payment Terms and Conditions</t>
    <phoneticPr fontId="4" type="noConversion"/>
  </si>
  <si>
    <t>2. Consignee</t>
    <phoneticPr fontId="14" type="noConversion"/>
  </si>
  <si>
    <t xml:space="preserve"> T/T Net 30days</t>
    <phoneticPr fontId="4" type="noConversion"/>
  </si>
  <si>
    <t>D.T. SYSTEMS, INC.</t>
    <phoneticPr fontId="4" type="noConversion"/>
  </si>
  <si>
    <t>2872 Walnut Hill Lane, Dallas, TX 75229 USA.</t>
    <phoneticPr fontId="14" type="noConversion"/>
  </si>
  <si>
    <t>10. Freight Term</t>
    <phoneticPr fontId="4" type="noConversion"/>
  </si>
  <si>
    <t>Tel: 214-350-9446   Bryant Kim, bryantkim@dtsystems.com</t>
    <phoneticPr fontId="4" type="noConversion"/>
  </si>
  <si>
    <t xml:space="preserve"> FOB BUSAN PORT IN KOREA</t>
    <phoneticPr fontId="4" type="noConversion"/>
  </si>
  <si>
    <t>3. Notify Party</t>
  </si>
  <si>
    <t>Tel: 214-350-9446   Susan Rhee, susanrhee@dtsystems.com</t>
    <phoneticPr fontId="4" type="noConversion"/>
  </si>
  <si>
    <t>11. Remarks</t>
    <phoneticPr fontId="4" type="noConversion"/>
  </si>
  <si>
    <t>4. Port of Loading</t>
  </si>
  <si>
    <t>5. Sailing on or about</t>
  </si>
  <si>
    <t>BUSAN PORT</t>
    <phoneticPr fontId="4" type="noConversion"/>
  </si>
  <si>
    <t xml:space="preserve"> November 13, 2024</t>
    <phoneticPr fontId="14" type="noConversion"/>
  </si>
  <si>
    <t xml:space="preserve">6. Carrier </t>
    <phoneticPr fontId="4" type="noConversion"/>
  </si>
  <si>
    <t>7. Final Destination</t>
  </si>
  <si>
    <t>HMM PEARL 003E</t>
    <phoneticPr fontId="14" type="noConversion"/>
  </si>
  <si>
    <t xml:space="preserve"> Dallas, Texas USA.</t>
    <phoneticPr fontId="4" type="noConversion"/>
  </si>
  <si>
    <t>12. Mark &amp; No.Pkgs</t>
    <phoneticPr fontId="4" type="noConversion"/>
  </si>
  <si>
    <t>13. Description of goods</t>
    <phoneticPr fontId="4" type="noConversion"/>
  </si>
  <si>
    <t>14. Quantity</t>
    <phoneticPr fontId="4" type="noConversion"/>
  </si>
  <si>
    <t>Unit</t>
    <phoneticPr fontId="4" type="noConversion"/>
  </si>
  <si>
    <t>15. Unit price</t>
    <phoneticPr fontId="4" type="noConversion"/>
  </si>
  <si>
    <t>16. Amount</t>
    <phoneticPr fontId="4" type="noConversion"/>
  </si>
  <si>
    <r>
      <t>1. Electronic Dog Trainer</t>
    </r>
    <r>
      <rPr>
        <b/>
        <sz val="9"/>
        <color rgb="FF329632"/>
        <rFont val="Arial"/>
        <family val="2"/>
      </rPr>
      <t xml:space="preserve"> _ 8543.70-9090</t>
    </r>
    <phoneticPr fontId="14" type="noConversion"/>
  </si>
  <si>
    <t>B/L RX ONLY</t>
  </si>
  <si>
    <t>EA</t>
  </si>
  <si>
    <t>BTB 800 (1BEEP)</t>
  </si>
  <si>
    <t>BTB 800 (2BEEP)</t>
  </si>
  <si>
    <t>CC 360</t>
  </si>
  <si>
    <t>SET</t>
  </si>
  <si>
    <t>FFH 360</t>
  </si>
  <si>
    <t>DALLAS, TEXAS</t>
  </si>
  <si>
    <t>H2O ADD-ON RX (GREEN)</t>
  </si>
  <si>
    <t xml:space="preserve">ORDER NO. </t>
    <phoneticPr fontId="4" type="noConversion"/>
  </si>
  <si>
    <t>H2O 1850 ADD-ON RX (BLACK)</t>
  </si>
  <si>
    <t>Q'TY :</t>
    <phoneticPr fontId="4" type="noConversion"/>
  </si>
  <si>
    <t>DD 700</t>
  </si>
  <si>
    <t>C/T No.</t>
    <phoneticPr fontId="4" type="noConversion"/>
  </si>
  <si>
    <t>1 - 192</t>
    <phoneticPr fontId="14" type="noConversion"/>
  </si>
  <si>
    <t>R.A.P.T 1400 COVERUP ADD-ON RX (BLACK)</t>
  </si>
  <si>
    <t>P/T No.</t>
    <phoneticPr fontId="14" type="noConversion"/>
  </si>
  <si>
    <t>1 - 6</t>
  </si>
  <si>
    <t>R.A.P.T 1450 ADD-ON RX (ORANGE)</t>
  </si>
  <si>
    <t>MADE IN KOREA</t>
  </si>
  <si>
    <t>R.A.P.T 1450 ADD-ON RX (GREEN)</t>
  </si>
  <si>
    <t>SPR 5100</t>
  </si>
  <si>
    <t>SPR 5100 ADD-ON RX (BLACK)</t>
  </si>
  <si>
    <t>SPR 5100 ADD-ON RX (GREEN)</t>
  </si>
  <si>
    <t>SPR 5100 ADD-ON RX (ORANGE)</t>
  </si>
  <si>
    <t>SPR 5100 ADD-ON RX (RED)</t>
  </si>
  <si>
    <t>SPR 5300</t>
  </si>
  <si>
    <t>SPR 5300 ADD-ON RX (BLACK)</t>
  </si>
  <si>
    <t>SPR 5300 ADD-ON RX (GREEN)</t>
  </si>
  <si>
    <t>SPR 5300 ADD-ON RX (ORANGE)</t>
  </si>
  <si>
    <t>SPR 5300 ADD-ON RX (RED)</t>
  </si>
  <si>
    <r>
      <t>2. No Bark Trainer</t>
    </r>
    <r>
      <rPr>
        <b/>
        <sz val="9"/>
        <color rgb="FF329632"/>
        <rFont val="Arial"/>
        <family val="2"/>
      </rPr>
      <t xml:space="preserve"> _ 8543.70-9090</t>
    </r>
    <phoneticPr fontId="14" type="noConversion"/>
  </si>
  <si>
    <t>BARKBOSS (RPL)</t>
  </si>
  <si>
    <t>BARKBOSS (RCH)</t>
  </si>
  <si>
    <t>3. Bird Launcher _ 7616.99-9090</t>
    <phoneticPr fontId="14" type="noConversion"/>
  </si>
  <si>
    <t>BL 505</t>
  </si>
  <si>
    <t>BL 705</t>
  </si>
  <si>
    <t>4. Dummy Launcher _ 7616.99-9090</t>
    <phoneticPr fontId="14" type="noConversion"/>
  </si>
  <si>
    <t>DUMMY LAUNCHER-CAB</t>
  </si>
  <si>
    <t>5. Dummy Tube _ 7616.99-9090</t>
    <phoneticPr fontId="14" type="noConversion"/>
  </si>
  <si>
    <t>DUMMY TUBE</t>
  </si>
  <si>
    <r>
      <t>6. Repair Parts</t>
    </r>
    <r>
      <rPr>
        <b/>
        <sz val="9"/>
        <color rgb="FF329632"/>
        <rFont val="Arial"/>
        <family val="2"/>
      </rPr>
      <t xml:space="preserve"> _ 8529.90-9100</t>
    </r>
    <phoneticPr fontId="14" type="noConversion"/>
  </si>
  <si>
    <t>IDT TX FRONT COVER</t>
  </si>
  <si>
    <t>H2O 1820 CAMO TX FRONT COVER</t>
  </si>
  <si>
    <t>TC1 PAGER MOTOR</t>
  </si>
  <si>
    <t>H2O TX TOGGLE SWITCH(3)</t>
  </si>
  <si>
    <t>IDT TX NICK SWITCH(SQUARE)</t>
  </si>
  <si>
    <t>To be continued.</t>
    <phoneticPr fontId="14" type="noConversion"/>
  </si>
  <si>
    <t>2 OF 2</t>
    <phoneticPr fontId="4" type="noConversion"/>
  </si>
  <si>
    <t>Continued</t>
  </si>
  <si>
    <t>BL RX PCB</t>
  </si>
  <si>
    <t>TC1 GPS PCB</t>
  </si>
  <si>
    <t>BL RX BATTERY CONTACT</t>
  </si>
  <si>
    <t>BL RX BATTERY CONNECTOR</t>
  </si>
  <si>
    <t>BL RX BATTERY COVER</t>
  </si>
  <si>
    <t>RAPT TX ANTENNA 1 INCH (w/o holder)</t>
  </si>
  <si>
    <t>IDT TX BATTERY COVER</t>
  </si>
  <si>
    <t>190DT BELT</t>
  </si>
  <si>
    <t>IDT RX REPAIR KIT</t>
  </si>
  <si>
    <t>EDT RX REPAIR KIT</t>
  </si>
  <si>
    <t xml:space="preserve">Sub Total    </t>
  </si>
  <si>
    <t xml:space="preserve">Package Charge $30 X6 PLT    </t>
  </si>
  <si>
    <t>8543.70-9090</t>
  </si>
  <si>
    <t>1,019 Kg</t>
    <phoneticPr fontId="3" type="noConversion"/>
  </si>
  <si>
    <t>8529.90-9100</t>
  </si>
  <si>
    <t>13 Kg</t>
    <phoneticPr fontId="3" type="noConversion"/>
  </si>
  <si>
    <t>7616.99-9090</t>
  </si>
  <si>
    <t>1,462 Kg</t>
  </si>
  <si>
    <t>TOTAL</t>
    <phoneticPr fontId="4" type="noConversion"/>
  </si>
  <si>
    <t>set</t>
    <phoneticPr fontId="4" type="noConversion"/>
  </si>
  <si>
    <t>ea</t>
    <phoneticPr fontId="4" type="noConversion"/>
  </si>
  <si>
    <t>Signed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</si>
</sst>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26" formatCode="\$#,##0.00_);[Red]\(\$#,##0.00\)"/>
    <numFmt numFmtId="177" formatCode="_(* #,##0_);_(* \(#,##0\);_(* &quot;-&quot;_);_(@_)"/>
    <numFmt numFmtId="178" formatCode="[$-409]mmmm&quot; , &quot;dd&quot; , &quot;yyyy;@"/>
    <numFmt numFmtId="179" formatCode="[$-409]\ mmmm&quot;   &quot;dd&quot; , &quot;yyyy;@"/>
    <numFmt numFmtId="180" formatCode="&quot;US$&quot;#,##0.00_);[Red]\(&quot;US$&quot;#,##0.00\)"/>
    <numFmt numFmtId="181" formatCode="_-* #,##0.0_-;\-* #,##0.0_-;_-* &quot;-&quot;_-;_-@_-"/>
    <numFmt numFmtId="182" formatCode="[$-409]\ mmmm&quot; , &quot;dd&quot; , &quot;yyyy;@"/>
    <numFmt numFmtId="183" formatCode="0.000_);[Red]\(0.000\)"/>
  </numFmts>
  <fonts count="29" x14ac:knownFonts="1">
    <font>
      <sz val="11"/>
      <color theme="1"/>
      <name val="맑은 고딕"/>
      <family val="2"/>
      <scheme val="minor"/>
    </font>
    <font>
      <sz val="11"/>
      <name val="돋움"/>
      <family val="3"/>
      <charset val="129"/>
    </font>
    <font>
      <sz val="18"/>
      <name val="Arial Black"/>
      <family val="2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9"/>
      <name val="Arial"/>
      <family val="2"/>
    </font>
    <font>
      <sz val="11"/>
      <name val="Arial Rounded MT Bold"/>
      <family val="2"/>
    </font>
    <font>
      <sz val="11"/>
      <color theme="1"/>
      <name val="맑은 고딕"/>
      <family val="2"/>
      <scheme val="minor"/>
    </font>
    <font>
      <b/>
      <sz val="9"/>
      <color indexed="8"/>
      <name val="Arial"/>
      <family val="2"/>
    </font>
    <font>
      <sz val="11"/>
      <name val="Arial"/>
      <family val="2"/>
    </font>
    <font>
      <b/>
      <sz val="10"/>
      <color indexed="8"/>
      <name val="Arial"/>
      <family val="2"/>
    </font>
    <font>
      <sz val="9"/>
      <color indexed="8"/>
      <name val="Arial"/>
      <family val="2"/>
    </font>
    <font>
      <b/>
      <sz val="10"/>
      <color indexed="12"/>
      <name val="Arial"/>
      <family val="2"/>
    </font>
    <font>
      <sz val="10"/>
      <color indexed="8"/>
      <name val="Arial"/>
      <family val="2"/>
    </font>
    <font>
      <sz val="8"/>
      <name val="맑은 고딕"/>
      <family val="3"/>
      <charset val="129"/>
      <scheme val="minor"/>
    </font>
    <font>
      <sz val="10"/>
      <name val="Arial"/>
      <family val="2"/>
    </font>
    <font>
      <sz val="10"/>
      <color indexed="12"/>
      <name val="Arial"/>
      <family val="2"/>
    </font>
    <font>
      <b/>
      <sz val="9"/>
      <color indexed="12"/>
      <name val="Arial"/>
      <family val="2"/>
    </font>
    <font>
      <b/>
      <sz val="9"/>
      <color theme="0"/>
      <name val="Arial"/>
      <family val="2"/>
    </font>
    <font>
      <b/>
      <sz val="9"/>
      <name val="Arial"/>
      <family val="2"/>
    </font>
    <font>
      <b/>
      <sz val="9"/>
      <color rgb="FF329632"/>
      <name val="Arial"/>
      <family val="2"/>
    </font>
    <font>
      <sz val="9"/>
      <color rgb="FF000000"/>
      <name val="Arial"/>
      <family val="2"/>
    </font>
    <font>
      <b/>
      <sz val="9"/>
      <color rgb="FFFF0000"/>
      <name val="Arial"/>
      <family val="2"/>
    </font>
    <font>
      <sz val="9"/>
      <color rgb="FFFF0000"/>
      <name val="Arial"/>
      <family val="2"/>
    </font>
    <font>
      <b/>
      <sz val="12"/>
      <color indexed="8"/>
      <name val="Arial"/>
      <family val="2"/>
    </font>
    <font>
      <b/>
      <sz val="9"/>
      <color rgb="FF000000"/>
      <name val="Arial"/>
      <family val="2"/>
    </font>
    <font>
      <sz val="9"/>
      <name val="Arial Rounded MT Bold"/>
      <family val="2"/>
    </font>
    <font>
      <b/>
      <sz val="12"/>
      <name val="Arial"/>
      <family val="2"/>
    </font>
    <font>
      <sz val="9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64"/>
      </left>
      <right style="medium">
        <color indexed="8"/>
      </right>
      <top style="thin">
        <color indexed="64"/>
      </top>
      <bottom/>
      <diagonal/>
    </border>
    <border>
      <left style="medium">
        <color indexed="8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auto="1"/>
      </right>
      <top style="medium">
        <color indexed="64"/>
      </top>
      <bottom/>
      <diagonal/>
    </border>
    <border>
      <left/>
      <right style="medium">
        <color auto="1"/>
      </right>
      <top/>
      <bottom/>
      <diagonal/>
    </border>
    <border>
      <left/>
      <right/>
      <top style="thick">
        <color theme="4"/>
      </top>
      <bottom/>
      <diagonal/>
    </border>
    <border>
      <left/>
      <right style="thin">
        <color indexed="64"/>
      </right>
      <top style="thick">
        <color theme="4"/>
      </top>
      <bottom/>
      <diagonal/>
    </border>
    <border>
      <left style="thin">
        <color indexed="64"/>
      </left>
      <right/>
      <top style="thick">
        <color theme="4"/>
      </top>
      <bottom/>
      <diagonal/>
    </border>
    <border>
      <left style="thin">
        <color auto="1"/>
      </left>
      <right style="thin">
        <color auto="1"/>
      </right>
      <top style="thick">
        <color theme="4"/>
      </top>
      <bottom/>
      <diagonal/>
    </border>
    <border>
      <left/>
      <right style="medium">
        <color auto="1"/>
      </right>
      <top style="thick">
        <color theme="4"/>
      </top>
      <bottom/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41" fontId="7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0" fontId="7" fillId="0" borderId="0"/>
  </cellStyleXfs>
  <cellXfs count="323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5" fillId="0" borderId="0" xfId="1" applyFont="1"/>
    <xf numFmtId="0" fontId="5" fillId="0" borderId="0" xfId="1" applyFont="1" applyAlignment="1">
      <alignment horizontal="center"/>
    </xf>
    <xf numFmtId="0" fontId="6" fillId="0" borderId="4" xfId="1" applyFont="1" applyBorder="1"/>
    <xf numFmtId="0" fontId="6" fillId="0" borderId="0" xfId="1" applyFont="1"/>
    <xf numFmtId="49" fontId="6" fillId="0" borderId="0" xfId="2" applyNumberFormat="1" applyFont="1" applyFill="1" applyBorder="1" applyAlignment="1"/>
    <xf numFmtId="0" fontId="6" fillId="0" borderId="0" xfId="1" applyFont="1" applyAlignment="1">
      <alignment horizontal="right"/>
    </xf>
    <xf numFmtId="0" fontId="6" fillId="0" borderId="0" xfId="1" applyFont="1" applyAlignment="1">
      <alignment horizontal="left" vertical="center" indent="2"/>
    </xf>
    <xf numFmtId="0" fontId="6" fillId="0" borderId="5" xfId="1" applyFont="1" applyBorder="1"/>
    <xf numFmtId="0" fontId="6" fillId="0" borderId="6" xfId="1" applyFont="1" applyBorder="1"/>
    <xf numFmtId="177" fontId="6" fillId="0" borderId="0" xfId="3" applyFont="1" applyFill="1" applyBorder="1" applyAlignment="1"/>
    <xf numFmtId="0" fontId="6" fillId="0" borderId="7" xfId="1" applyFont="1" applyBorder="1"/>
    <xf numFmtId="0" fontId="8" fillId="0" borderId="4" xfId="1" applyFont="1" applyBorder="1" applyAlignment="1">
      <alignment horizontal="left" vertical="center"/>
    </xf>
    <xf numFmtId="0" fontId="8" fillId="0" borderId="0" xfId="1" applyFont="1" applyAlignment="1">
      <alignment horizontal="left" vertical="center"/>
    </xf>
    <xf numFmtId="0" fontId="8" fillId="0" borderId="5" xfId="1" applyFont="1" applyBorder="1" applyAlignment="1">
      <alignment horizontal="left" vertical="center"/>
    </xf>
    <xf numFmtId="0" fontId="8" fillId="0" borderId="6" xfId="1" applyFont="1" applyBorder="1" applyAlignment="1">
      <alignment horizontal="justify" vertical="center"/>
    </xf>
    <xf numFmtId="0" fontId="8" fillId="0" borderId="0" xfId="1" applyFont="1" applyAlignment="1">
      <alignment horizontal="justify" vertical="center"/>
    </xf>
    <xf numFmtId="0" fontId="8" fillId="0" borderId="7" xfId="1" applyFont="1" applyBorder="1" applyAlignment="1">
      <alignment horizontal="justify" vertical="center"/>
    </xf>
    <xf numFmtId="0" fontId="9" fillId="0" borderId="4" xfId="1" applyFont="1" applyBorder="1"/>
    <xf numFmtId="0" fontId="10" fillId="0" borderId="0" xfId="1" applyFont="1" applyAlignment="1">
      <alignment horizontal="left" vertical="center"/>
    </xf>
    <xf numFmtId="49" fontId="11" fillId="0" borderId="0" xfId="2" applyNumberFormat="1" applyFont="1" applyFill="1" applyBorder="1" applyAlignment="1">
      <alignment horizontal="left" vertical="center"/>
    </xf>
    <xf numFmtId="0" fontId="11" fillId="0" borderId="0" xfId="1" applyFont="1" applyAlignment="1">
      <alignment horizontal="right" vertical="center"/>
    </xf>
    <xf numFmtId="0" fontId="11" fillId="0" borderId="0" xfId="1" applyFont="1" applyAlignment="1">
      <alignment horizontal="left" vertical="center" indent="2"/>
    </xf>
    <xf numFmtId="0" fontId="11" fillId="0" borderId="0" xfId="1" applyFont="1" applyAlignment="1">
      <alignment horizontal="left" vertical="center"/>
    </xf>
    <xf numFmtId="0" fontId="11" fillId="0" borderId="0" xfId="1" applyFont="1" applyAlignment="1">
      <alignment horizontal="center" vertical="center"/>
    </xf>
    <xf numFmtId="0" fontId="12" fillId="0" borderId="6" xfId="1" applyFont="1" applyBorder="1" applyAlignment="1">
      <alignment vertical="center"/>
    </xf>
    <xf numFmtId="0" fontId="12" fillId="0" borderId="0" xfId="1" applyFont="1" applyAlignment="1">
      <alignment vertical="center"/>
    </xf>
    <xf numFmtId="178" fontId="12" fillId="0" borderId="0" xfId="1" applyNumberFormat="1" applyFont="1" applyAlignment="1">
      <alignment vertical="center"/>
    </xf>
    <xf numFmtId="0" fontId="12" fillId="0" borderId="7" xfId="1" applyFont="1" applyBorder="1" applyAlignment="1">
      <alignment vertical="center"/>
    </xf>
    <xf numFmtId="0" fontId="9" fillId="0" borderId="0" xfId="1" applyFont="1"/>
    <xf numFmtId="0" fontId="9" fillId="0" borderId="0" xfId="1" applyFont="1" applyAlignment="1">
      <alignment horizontal="center"/>
    </xf>
    <xf numFmtId="0" fontId="13" fillId="0" borderId="0" xfId="1" applyFont="1" applyAlignment="1">
      <alignment horizontal="left" vertical="center" shrinkToFit="1"/>
    </xf>
    <xf numFmtId="0" fontId="13" fillId="0" borderId="5" xfId="1" applyFont="1" applyBorder="1" applyAlignment="1">
      <alignment horizontal="left" vertical="center" shrinkToFit="1"/>
    </xf>
    <xf numFmtId="0" fontId="9" fillId="0" borderId="8" xfId="1" applyFont="1" applyBorder="1"/>
    <xf numFmtId="0" fontId="8" fillId="0" borderId="9" xfId="1" applyFont="1" applyBorder="1" applyAlignment="1">
      <alignment horizontal="left" vertical="center"/>
    </xf>
    <xf numFmtId="177" fontId="8" fillId="0" borderId="9" xfId="3" applyFont="1" applyFill="1" applyBorder="1" applyAlignment="1">
      <alignment horizontal="left" vertical="center"/>
    </xf>
    <xf numFmtId="0" fontId="11" fillId="0" borderId="9" xfId="1" applyFont="1" applyBorder="1" applyAlignment="1">
      <alignment horizontal="left" vertical="center"/>
    </xf>
    <xf numFmtId="0" fontId="8" fillId="0" borderId="9" xfId="1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0" fontId="6" fillId="0" borderId="0" xfId="1" applyFont="1" applyAlignment="1">
      <alignment horizontal="center"/>
    </xf>
    <xf numFmtId="0" fontId="13" fillId="0" borderId="9" xfId="1" applyFont="1" applyBorder="1" applyAlignment="1">
      <alignment horizontal="left" vertical="center"/>
    </xf>
    <xf numFmtId="0" fontId="13" fillId="0" borderId="11" xfId="1" applyFont="1" applyBorder="1" applyAlignment="1">
      <alignment horizontal="left" vertical="center"/>
    </xf>
    <xf numFmtId="0" fontId="8" fillId="0" borderId="0" xfId="1" applyFont="1" applyAlignment="1">
      <alignment horizontal="left" vertical="center"/>
    </xf>
    <xf numFmtId="15" fontId="15" fillId="0" borderId="0" xfId="1" quotePrefix="1" applyNumberFormat="1" applyFont="1" applyAlignment="1">
      <alignment vertical="center"/>
    </xf>
    <xf numFmtId="177" fontId="15" fillId="0" borderId="0" xfId="3" applyFont="1" applyFill="1" applyBorder="1" applyAlignment="1">
      <alignment vertical="center"/>
    </xf>
    <xf numFmtId="15" fontId="15" fillId="0" borderId="0" xfId="1" applyNumberFormat="1" applyFont="1" applyAlignment="1">
      <alignment vertical="center"/>
    </xf>
    <xf numFmtId="0" fontId="9" fillId="0" borderId="7" xfId="1" applyFont="1" applyBorder="1"/>
    <xf numFmtId="0" fontId="8" fillId="0" borderId="12" xfId="1" applyFont="1" applyBorder="1" applyAlignment="1">
      <alignment horizontal="left" vertical="center"/>
    </xf>
    <xf numFmtId="0" fontId="8" fillId="0" borderId="13" xfId="1" applyFont="1" applyBorder="1" applyAlignment="1">
      <alignment horizontal="left" vertical="center"/>
    </xf>
    <xf numFmtId="0" fontId="8" fillId="0" borderId="14" xfId="1" applyFont="1" applyBorder="1" applyAlignment="1">
      <alignment horizontal="left" vertical="center"/>
    </xf>
    <xf numFmtId="0" fontId="15" fillId="0" borderId="6" xfId="1" applyFont="1" applyBorder="1" applyAlignment="1">
      <alignment horizontal="left"/>
    </xf>
    <xf numFmtId="0" fontId="15" fillId="0" borderId="0" xfId="1" applyFont="1" applyAlignment="1">
      <alignment horizontal="left"/>
    </xf>
    <xf numFmtId="0" fontId="15" fillId="0" borderId="7" xfId="1" applyFont="1" applyBorder="1" applyAlignment="1">
      <alignment horizontal="left"/>
    </xf>
    <xf numFmtId="0" fontId="8" fillId="0" borderId="0" xfId="1" applyFont="1" applyAlignment="1">
      <alignment vertical="center"/>
    </xf>
    <xf numFmtId="0" fontId="10" fillId="0" borderId="0" xfId="1" applyFont="1" applyAlignment="1">
      <alignment vertical="center"/>
    </xf>
    <xf numFmtId="49" fontId="10" fillId="0" borderId="0" xfId="2" applyNumberFormat="1" applyFont="1" applyFill="1" applyBorder="1" applyAlignment="1">
      <alignment vertical="center"/>
    </xf>
    <xf numFmtId="0" fontId="10" fillId="0" borderId="0" xfId="1" applyFont="1" applyAlignment="1">
      <alignment horizontal="right" vertical="center"/>
    </xf>
    <xf numFmtId="0" fontId="10" fillId="0" borderId="0" xfId="1" applyFont="1" applyAlignment="1">
      <alignment horizontal="left" vertical="center" indent="2"/>
    </xf>
    <xf numFmtId="0" fontId="10" fillId="0" borderId="5" xfId="1" applyFont="1" applyBorder="1" applyAlignment="1">
      <alignment vertical="center"/>
    </xf>
    <xf numFmtId="0" fontId="8" fillId="0" borderId="8" xfId="1" applyFont="1" applyBorder="1" applyAlignment="1">
      <alignment horizontal="left" vertical="center"/>
    </xf>
    <xf numFmtId="177" fontId="9" fillId="0" borderId="9" xfId="3" applyFont="1" applyFill="1" applyBorder="1" applyAlignment="1"/>
    <xf numFmtId="0" fontId="16" fillId="0" borderId="9" xfId="1" applyFont="1" applyBorder="1" applyAlignment="1">
      <alignment horizontal="justify" vertical="center"/>
    </xf>
    <xf numFmtId="0" fontId="12" fillId="0" borderId="9" xfId="1" applyFont="1" applyBorder="1" applyAlignment="1">
      <alignment horizontal="center" vertical="center"/>
    </xf>
    <xf numFmtId="0" fontId="11" fillId="0" borderId="10" xfId="1" applyFont="1" applyBorder="1" applyAlignment="1">
      <alignment horizontal="left" vertical="center"/>
    </xf>
    <xf numFmtId="0" fontId="13" fillId="0" borderId="0" xfId="1" applyFont="1" applyAlignment="1">
      <alignment horizontal="left" vertical="center"/>
    </xf>
    <xf numFmtId="0" fontId="13" fillId="0" borderId="5" xfId="1" applyFont="1" applyBorder="1" applyAlignment="1">
      <alignment horizontal="left" vertical="center"/>
    </xf>
    <xf numFmtId="0" fontId="8" fillId="0" borderId="0" xfId="1" applyFont="1" applyAlignment="1">
      <alignment horizontal="justify" vertical="center"/>
    </xf>
    <xf numFmtId="177" fontId="8" fillId="0" borderId="0" xfId="3" applyFont="1" applyFill="1" applyBorder="1" applyAlignment="1">
      <alignment horizontal="justify" vertical="center"/>
    </xf>
    <xf numFmtId="0" fontId="13" fillId="0" borderId="0" xfId="1" applyFont="1" applyAlignment="1">
      <alignment vertical="center"/>
    </xf>
    <xf numFmtId="0" fontId="9" fillId="0" borderId="15" xfId="1" applyFont="1" applyBorder="1"/>
    <xf numFmtId="0" fontId="13" fillId="0" borderId="9" xfId="1" applyFont="1" applyBorder="1" applyAlignment="1">
      <alignment vertical="center"/>
    </xf>
    <xf numFmtId="49" fontId="13" fillId="0" borderId="9" xfId="2" applyNumberFormat="1" applyFont="1" applyFill="1" applyBorder="1" applyAlignment="1">
      <alignment vertical="center"/>
    </xf>
    <xf numFmtId="0" fontId="13" fillId="0" borderId="9" xfId="1" applyFont="1" applyBorder="1" applyAlignment="1">
      <alignment horizontal="right" vertical="center"/>
    </xf>
    <xf numFmtId="0" fontId="13" fillId="0" borderId="9" xfId="1" applyFont="1" applyBorder="1" applyAlignment="1">
      <alignment horizontal="left" vertical="center" indent="2"/>
    </xf>
    <xf numFmtId="0" fontId="11" fillId="0" borderId="9" xfId="1" applyFont="1" applyBorder="1" applyAlignment="1">
      <alignment vertical="center"/>
    </xf>
    <xf numFmtId="0" fontId="13" fillId="0" borderId="11" xfId="1" applyFont="1" applyBorder="1" applyAlignment="1">
      <alignment vertical="center"/>
    </xf>
    <xf numFmtId="0" fontId="5" fillId="0" borderId="6" xfId="1" applyFont="1" applyBorder="1" applyAlignment="1">
      <alignment horizontal="left"/>
    </xf>
    <xf numFmtId="0" fontId="5" fillId="0" borderId="0" xfId="1" applyFont="1" applyAlignment="1">
      <alignment horizontal="left"/>
    </xf>
    <xf numFmtId="0" fontId="5" fillId="0" borderId="7" xfId="1" applyFont="1" applyBorder="1" applyAlignment="1">
      <alignment horizontal="left"/>
    </xf>
    <xf numFmtId="177" fontId="9" fillId="0" borderId="0" xfId="3" applyFont="1" applyFill="1" applyBorder="1" applyAlignment="1"/>
    <xf numFmtId="49" fontId="13" fillId="0" borderId="0" xfId="2" applyNumberFormat="1" applyFont="1" applyFill="1" applyBorder="1" applyAlignment="1">
      <alignment horizontal="left" vertical="center"/>
    </xf>
    <xf numFmtId="0" fontId="13" fillId="0" borderId="0" xfId="1" applyFont="1" applyAlignment="1">
      <alignment horizontal="right" vertical="center"/>
    </xf>
    <xf numFmtId="0" fontId="13" fillId="0" borderId="0" xfId="1" applyFont="1" applyAlignment="1">
      <alignment horizontal="left" vertical="center" indent="2"/>
    </xf>
    <xf numFmtId="0" fontId="13" fillId="0" borderId="0" xfId="1" applyFont="1" applyAlignment="1">
      <alignment horizontal="left" vertical="center"/>
    </xf>
    <xf numFmtId="0" fontId="13" fillId="0" borderId="5" xfId="1" applyFont="1" applyBorder="1" applyAlignment="1">
      <alignment horizontal="left" vertical="center"/>
    </xf>
    <xf numFmtId="0" fontId="9" fillId="0" borderId="9" xfId="1" applyFont="1" applyBorder="1"/>
    <xf numFmtId="0" fontId="13" fillId="0" borderId="10" xfId="1" applyFont="1" applyBorder="1" applyAlignment="1">
      <alignment vertical="center"/>
    </xf>
    <xf numFmtId="49" fontId="13" fillId="0" borderId="9" xfId="2" applyNumberFormat="1" applyFont="1" applyFill="1" applyBorder="1" applyAlignment="1">
      <alignment horizontal="left" vertical="center"/>
    </xf>
    <xf numFmtId="0" fontId="13" fillId="0" borderId="9" xfId="1" applyFont="1" applyBorder="1" applyAlignment="1">
      <alignment horizontal="left" vertical="center"/>
    </xf>
    <xf numFmtId="0" fontId="13" fillId="0" borderId="11" xfId="1" applyFont="1" applyBorder="1" applyAlignment="1">
      <alignment horizontal="left" vertical="center"/>
    </xf>
    <xf numFmtId="0" fontId="8" fillId="0" borderId="16" xfId="1" applyFont="1" applyBorder="1" applyAlignment="1">
      <alignment horizontal="justify" vertical="center"/>
    </xf>
    <xf numFmtId="0" fontId="8" fillId="0" borderId="13" xfId="1" applyFont="1" applyBorder="1" applyAlignment="1">
      <alignment horizontal="justify" vertical="center"/>
    </xf>
    <xf numFmtId="0" fontId="13" fillId="0" borderId="7" xfId="1" applyFont="1" applyBorder="1" applyAlignment="1">
      <alignment vertical="center"/>
    </xf>
    <xf numFmtId="0" fontId="8" fillId="0" borderId="17" xfId="1" applyFont="1" applyBorder="1" applyAlignment="1">
      <alignment horizontal="left" vertical="center"/>
    </xf>
    <xf numFmtId="0" fontId="8" fillId="0" borderId="18" xfId="1" applyFont="1" applyBorder="1" applyAlignment="1">
      <alignment horizontal="left" vertical="center"/>
    </xf>
    <xf numFmtId="49" fontId="8" fillId="0" borderId="19" xfId="2" applyNumberFormat="1" applyFont="1" applyFill="1" applyBorder="1" applyAlignment="1">
      <alignment horizontal="justify" vertical="center"/>
    </xf>
    <xf numFmtId="0" fontId="8" fillId="0" borderId="0" xfId="1" applyFont="1" applyAlignment="1">
      <alignment horizontal="right" vertical="center"/>
    </xf>
    <xf numFmtId="0" fontId="8" fillId="0" borderId="0" xfId="1" applyFont="1" applyAlignment="1">
      <alignment horizontal="left" vertical="center" indent="2"/>
    </xf>
    <xf numFmtId="0" fontId="9" fillId="0" borderId="14" xfId="1" applyFont="1" applyBorder="1"/>
    <xf numFmtId="0" fontId="8" fillId="0" borderId="20" xfId="1" applyFont="1" applyBorder="1" applyAlignment="1">
      <alignment horizontal="left" vertical="center"/>
    </xf>
    <xf numFmtId="0" fontId="15" fillId="0" borderId="0" xfId="1" applyFont="1"/>
    <xf numFmtId="0" fontId="13" fillId="0" borderId="4" xfId="1" applyFont="1" applyBorder="1" applyAlignment="1">
      <alignment horizontal="left" vertical="center"/>
    </xf>
    <xf numFmtId="179" fontId="12" fillId="0" borderId="8" xfId="1" applyNumberFormat="1" applyFont="1" applyBorder="1" applyAlignment="1">
      <alignment horizontal="left" vertical="center"/>
    </xf>
    <xf numFmtId="179" fontId="12" fillId="0" borderId="9" xfId="1" applyNumberFormat="1" applyFont="1" applyBorder="1" applyAlignment="1">
      <alignment horizontal="left" vertical="center"/>
    </xf>
    <xf numFmtId="179" fontId="12" fillId="0" borderId="11" xfId="1" applyNumberFormat="1" applyFont="1" applyBorder="1" applyAlignment="1">
      <alignment horizontal="left" vertical="center"/>
    </xf>
    <xf numFmtId="0" fontId="15" fillId="0" borderId="6" xfId="1" applyFont="1" applyBorder="1" applyAlignment="1">
      <alignment vertical="center"/>
    </xf>
    <xf numFmtId="0" fontId="8" fillId="0" borderId="21" xfId="1" applyFont="1" applyBorder="1" applyAlignment="1">
      <alignment horizontal="left" vertical="center"/>
    </xf>
    <xf numFmtId="0" fontId="8" fillId="0" borderId="22" xfId="1" applyFont="1" applyBorder="1" applyAlignment="1">
      <alignment horizontal="left" vertical="center"/>
    </xf>
    <xf numFmtId="0" fontId="12" fillId="0" borderId="13" xfId="1" applyFont="1" applyBorder="1" applyAlignment="1">
      <alignment horizontal="center" vertical="center"/>
    </xf>
    <xf numFmtId="0" fontId="12" fillId="0" borderId="14" xfId="1" applyFont="1" applyBorder="1" applyAlignment="1">
      <alignment horizontal="center" vertical="center"/>
    </xf>
    <xf numFmtId="0" fontId="15" fillId="0" borderId="0" xfId="1" applyFont="1" applyAlignment="1">
      <alignment vertical="center"/>
    </xf>
    <xf numFmtId="177" fontId="13" fillId="0" borderId="0" xfId="3" applyFont="1" applyFill="1" applyBorder="1" applyAlignment="1">
      <alignment horizontal="center" vertical="center"/>
    </xf>
    <xf numFmtId="0" fontId="13" fillId="0" borderId="15" xfId="1" applyFont="1" applyBorder="1" applyAlignment="1">
      <alignment horizontal="left" vertical="center"/>
    </xf>
    <xf numFmtId="0" fontId="17" fillId="0" borderId="9" xfId="1" applyFont="1" applyBorder="1" applyAlignment="1">
      <alignment horizontal="left" vertical="top" wrapText="1"/>
    </xf>
    <xf numFmtId="0" fontId="17" fillId="0" borderId="11" xfId="1" applyFont="1" applyBorder="1" applyAlignment="1">
      <alignment horizontal="left" vertical="top" wrapText="1"/>
    </xf>
    <xf numFmtId="0" fontId="13" fillId="0" borderId="8" xfId="1" applyFont="1" applyBorder="1" applyAlignment="1">
      <alignment horizontal="left" vertical="center"/>
    </xf>
    <xf numFmtId="177" fontId="10" fillId="0" borderId="0" xfId="3" applyFont="1" applyFill="1" applyBorder="1" applyAlignment="1">
      <alignment horizontal="center" vertical="center"/>
    </xf>
    <xf numFmtId="180" fontId="12" fillId="0" borderId="9" xfId="1" applyNumberFormat="1" applyFont="1" applyBorder="1" applyAlignment="1">
      <alignment vertical="center"/>
    </xf>
    <xf numFmtId="0" fontId="8" fillId="0" borderId="23" xfId="1" applyFont="1" applyBorder="1" applyAlignment="1">
      <alignment horizontal="left" vertical="center"/>
    </xf>
    <xf numFmtId="0" fontId="8" fillId="0" borderId="24" xfId="1" applyFont="1" applyBorder="1" applyAlignment="1">
      <alignment horizontal="left" vertical="center"/>
    </xf>
    <xf numFmtId="0" fontId="8" fillId="0" borderId="25" xfId="1" applyFont="1" applyBorder="1" applyAlignment="1">
      <alignment horizontal="left" vertical="center"/>
    </xf>
    <xf numFmtId="0" fontId="8" fillId="0" borderId="26" xfId="1" applyFont="1" applyBorder="1" applyAlignment="1">
      <alignment horizontal="left" vertical="center"/>
    </xf>
    <xf numFmtId="0" fontId="11" fillId="0" borderId="27" xfId="1" applyFont="1" applyBorder="1" applyAlignment="1">
      <alignment horizontal="center" vertical="center"/>
    </xf>
    <xf numFmtId="0" fontId="8" fillId="0" borderId="28" xfId="1" applyFont="1" applyBorder="1" applyAlignment="1">
      <alignment horizontal="left" vertical="center"/>
    </xf>
    <xf numFmtId="0" fontId="8" fillId="0" borderId="4" xfId="1" applyFont="1" applyBorder="1" applyAlignment="1">
      <alignment horizontal="left" vertical="center"/>
    </xf>
    <xf numFmtId="49" fontId="8" fillId="0" borderId="0" xfId="2" applyNumberFormat="1" applyFont="1" applyFill="1" applyBorder="1" applyAlignment="1">
      <alignment horizontal="left" vertical="center"/>
    </xf>
    <xf numFmtId="0" fontId="8" fillId="0" borderId="5" xfId="1" applyFont="1" applyBorder="1" applyAlignment="1">
      <alignment horizontal="left" vertical="center"/>
    </xf>
    <xf numFmtId="0" fontId="11" fillId="0" borderId="5" xfId="1" applyFont="1" applyBorder="1" applyAlignment="1">
      <alignment horizontal="left" vertical="center"/>
    </xf>
    <xf numFmtId="0" fontId="8" fillId="0" borderId="6" xfId="1" applyFont="1" applyBorder="1" applyAlignment="1">
      <alignment horizontal="left" vertical="center"/>
    </xf>
    <xf numFmtId="177" fontId="8" fillId="0" borderId="5" xfId="3" applyFont="1" applyFill="1" applyBorder="1" applyAlignment="1">
      <alignment horizontal="left" vertical="center"/>
    </xf>
    <xf numFmtId="0" fontId="11" fillId="0" borderId="29" xfId="1" applyFont="1" applyBorder="1" applyAlignment="1">
      <alignment horizontal="center" vertical="center"/>
    </xf>
    <xf numFmtId="0" fontId="8" fillId="0" borderId="6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/>
    </xf>
    <xf numFmtId="0" fontId="8" fillId="0" borderId="7" xfId="1" applyFont="1" applyBorder="1" applyAlignment="1">
      <alignment horizontal="left" vertical="center"/>
    </xf>
    <xf numFmtId="0" fontId="18" fillId="0" borderId="0" xfId="1" applyFont="1" applyAlignment="1">
      <alignment horizontal="left" vertical="center"/>
    </xf>
    <xf numFmtId="0" fontId="19" fillId="0" borderId="0" xfId="1" applyFont="1"/>
    <xf numFmtId="0" fontId="21" fillId="0" borderId="0" xfId="0" applyFont="1"/>
    <xf numFmtId="0" fontId="21" fillId="0" borderId="5" xfId="1" applyFont="1" applyBorder="1"/>
    <xf numFmtId="0" fontId="21" fillId="0" borderId="0" xfId="1" applyFont="1"/>
    <xf numFmtId="177" fontId="21" fillId="0" borderId="0" xfId="3" applyFont="1" applyFill="1" applyAlignment="1">
      <alignment horizontal="right"/>
    </xf>
    <xf numFmtId="0" fontId="21" fillId="0" borderId="29" xfId="1" applyFont="1" applyBorder="1"/>
    <xf numFmtId="0" fontId="21" fillId="0" borderId="6" xfId="1" applyFont="1" applyBorder="1" applyAlignment="1">
      <alignment horizontal="center" vertical="center"/>
    </xf>
    <xf numFmtId="0" fontId="21" fillId="0" borderId="5" xfId="1" applyFont="1" applyBorder="1" applyAlignment="1">
      <alignment horizontal="center" vertical="center"/>
    </xf>
    <xf numFmtId="26" fontId="21" fillId="0" borderId="6" xfId="1" applyNumberFormat="1" applyFont="1" applyBorder="1" applyAlignment="1">
      <alignment horizontal="center" vertical="center"/>
    </xf>
    <xf numFmtId="26" fontId="21" fillId="0" borderId="7" xfId="1" applyNumberFormat="1" applyFont="1" applyBorder="1" applyAlignment="1">
      <alignment horizontal="center" vertical="center"/>
    </xf>
    <xf numFmtId="0" fontId="19" fillId="0" borderId="6" xfId="1" applyFont="1" applyBorder="1" applyAlignment="1" applyProtection="1">
      <alignment vertical="center"/>
      <protection locked="0"/>
    </xf>
    <xf numFmtId="177" fontId="21" fillId="0" borderId="5" xfId="3" applyFont="1" applyFill="1" applyBorder="1" applyAlignment="1">
      <alignment horizontal="right"/>
    </xf>
    <xf numFmtId="0" fontId="21" fillId="0" borderId="0" xfId="1" applyFont="1" applyAlignment="1">
      <alignment horizontal="center" vertical="center"/>
    </xf>
    <xf numFmtId="26" fontId="21" fillId="0" borderId="5" xfId="1" applyNumberFormat="1" applyFont="1" applyBorder="1" applyAlignment="1">
      <alignment horizontal="right" vertical="center"/>
    </xf>
    <xf numFmtId="26" fontId="21" fillId="0" borderId="6" xfId="1" applyNumberFormat="1" applyFont="1" applyBorder="1" applyAlignment="1">
      <alignment vertical="center"/>
    </xf>
    <xf numFmtId="26" fontId="21" fillId="0" borderId="7" xfId="1" applyNumberFormat="1" applyFont="1" applyBorder="1" applyAlignment="1">
      <alignment vertical="center"/>
    </xf>
    <xf numFmtId="0" fontId="21" fillId="0" borderId="29" xfId="1" applyFont="1" applyBorder="1" applyAlignment="1">
      <alignment horizontal="center" vertical="center"/>
    </xf>
    <xf numFmtId="0" fontId="1" fillId="0" borderId="0" xfId="1"/>
    <xf numFmtId="49" fontId="5" fillId="0" borderId="0" xfId="2" applyNumberFormat="1" applyFont="1" applyFill="1" applyBorder="1" applyAlignment="1"/>
    <xf numFmtId="0" fontId="5" fillId="0" borderId="0" xfId="1" applyFont="1" applyAlignment="1">
      <alignment horizontal="right"/>
    </xf>
    <xf numFmtId="49" fontId="19" fillId="0" borderId="0" xfId="2" applyNumberFormat="1" applyFont="1" applyFill="1" applyBorder="1" applyAlignment="1">
      <alignment horizontal="center"/>
    </xf>
    <xf numFmtId="49" fontId="19" fillId="0" borderId="0" xfId="1" applyNumberFormat="1" applyFont="1" applyAlignment="1">
      <alignment vertical="center"/>
    </xf>
    <xf numFmtId="49" fontId="19" fillId="0" borderId="0" xfId="1" applyNumberFormat="1" applyFont="1" applyAlignment="1">
      <alignment horizontal="right" vertical="center"/>
    </xf>
    <xf numFmtId="26" fontId="21" fillId="0" borderId="6" xfId="1" applyNumberFormat="1" applyFont="1" applyBorder="1" applyAlignment="1">
      <alignment horizontal="center" vertical="top"/>
    </xf>
    <xf numFmtId="49" fontId="19" fillId="0" borderId="0" xfId="2" applyNumberFormat="1" applyFont="1" applyFill="1" applyBorder="1" applyAlignment="1"/>
    <xf numFmtId="0" fontId="21" fillId="0" borderId="0" xfId="4" applyFont="1"/>
    <xf numFmtId="0" fontId="21" fillId="0" borderId="6" xfId="1" applyFont="1" applyBorder="1" applyAlignment="1">
      <alignment horizontal="left" vertical="center"/>
    </xf>
    <xf numFmtId="0" fontId="21" fillId="0" borderId="0" xfId="1" applyFont="1" applyAlignment="1">
      <alignment horizontal="left" vertical="center"/>
    </xf>
    <xf numFmtId="177" fontId="21" fillId="0" borderId="5" xfId="3" applyFont="1" applyFill="1" applyBorder="1" applyAlignment="1">
      <alignment horizontal="right" vertical="center"/>
    </xf>
    <xf numFmtId="0" fontId="21" fillId="0" borderId="5" xfId="1" applyFont="1" applyBorder="1" applyAlignment="1" applyProtection="1">
      <alignment vertical="center"/>
      <protection locked="0"/>
    </xf>
    <xf numFmtId="177" fontId="21" fillId="0" borderId="0" xfId="3" applyFont="1" applyFill="1" applyBorder="1" applyAlignment="1">
      <alignment horizontal="left" vertical="center"/>
    </xf>
    <xf numFmtId="0" fontId="22" fillId="0" borderId="6" xfId="1" applyFont="1" applyBorder="1" applyAlignment="1" applyProtection="1">
      <alignment vertical="center"/>
      <protection locked="0"/>
    </xf>
    <xf numFmtId="0" fontId="23" fillId="0" borderId="0" xfId="0" applyFont="1"/>
    <xf numFmtId="0" fontId="23" fillId="0" borderId="5" xfId="1" applyFont="1" applyBorder="1" applyAlignment="1" applyProtection="1">
      <alignment vertical="center"/>
      <protection locked="0"/>
    </xf>
    <xf numFmtId="0" fontId="23" fillId="0" borderId="6" xfId="1" applyFont="1" applyBorder="1"/>
    <xf numFmtId="177" fontId="23" fillId="0" borderId="0" xfId="3" applyFont="1" applyFill="1" applyBorder="1" applyAlignment="1"/>
    <xf numFmtId="177" fontId="23" fillId="0" borderId="5" xfId="3" applyFont="1" applyFill="1" applyBorder="1" applyAlignment="1">
      <alignment horizontal="right" vertical="center"/>
    </xf>
    <xf numFmtId="0" fontId="23" fillId="0" borderId="29" xfId="1" applyFont="1" applyBorder="1" applyAlignment="1">
      <alignment horizontal="center" vertical="center"/>
    </xf>
    <xf numFmtId="0" fontId="23" fillId="0" borderId="6" xfId="1" applyFont="1" applyBorder="1" applyAlignment="1">
      <alignment horizontal="center" vertical="center"/>
    </xf>
    <xf numFmtId="26" fontId="23" fillId="0" borderId="5" xfId="1" applyNumberFormat="1" applyFont="1" applyBorder="1" applyAlignment="1">
      <alignment horizontal="right" vertical="center"/>
    </xf>
    <xf numFmtId="26" fontId="23" fillId="0" borderId="6" xfId="1" applyNumberFormat="1" applyFont="1" applyBorder="1" applyAlignment="1">
      <alignment vertical="center"/>
    </xf>
    <xf numFmtId="26" fontId="23" fillId="0" borderId="7" xfId="1" applyNumberFormat="1" applyFont="1" applyBorder="1" applyAlignment="1">
      <alignment vertical="center"/>
    </xf>
    <xf numFmtId="0" fontId="23" fillId="0" borderId="5" xfId="1" applyFont="1" applyBorder="1"/>
    <xf numFmtId="0" fontId="23" fillId="0" borderId="6" xfId="1" applyFont="1" applyBorder="1" applyAlignment="1">
      <alignment horizontal="left" vertical="center"/>
    </xf>
    <xf numFmtId="0" fontId="23" fillId="0" borderId="0" xfId="1" applyFont="1" applyAlignment="1">
      <alignment horizontal="left" vertical="center"/>
    </xf>
    <xf numFmtId="177" fontId="23" fillId="0" borderId="5" xfId="3" applyFont="1" applyFill="1" applyBorder="1" applyAlignment="1">
      <alignment horizontal="right"/>
    </xf>
    <xf numFmtId="181" fontId="23" fillId="0" borderId="6" xfId="3" applyNumberFormat="1" applyFont="1" applyFill="1" applyBorder="1" applyAlignment="1">
      <alignment horizontal="center" vertical="center"/>
    </xf>
    <xf numFmtId="177" fontId="23" fillId="0" borderId="0" xfId="3" applyFont="1" applyFill="1" applyBorder="1" applyAlignment="1">
      <alignment horizontal="left" vertical="center"/>
    </xf>
    <xf numFmtId="177" fontId="23" fillId="0" borderId="5" xfId="3" applyFont="1" applyFill="1" applyBorder="1" applyAlignment="1">
      <alignment horizontal="left" vertical="center"/>
    </xf>
    <xf numFmtId="181" fontId="23" fillId="0" borderId="0" xfId="3" applyNumberFormat="1" applyFont="1" applyFill="1" applyBorder="1" applyAlignment="1">
      <alignment horizontal="center" vertical="center"/>
    </xf>
    <xf numFmtId="0" fontId="23" fillId="0" borderId="0" xfId="1" applyFont="1"/>
    <xf numFmtId="181" fontId="23" fillId="0" borderId="29" xfId="3" applyNumberFormat="1" applyFont="1" applyFill="1" applyBorder="1" applyAlignment="1">
      <alignment horizontal="center" vertical="center"/>
    </xf>
    <xf numFmtId="181" fontId="23" fillId="0" borderId="6" xfId="3" applyNumberFormat="1" applyFont="1" applyFill="1" applyBorder="1" applyAlignment="1">
      <alignment horizontal="center" vertical="top"/>
    </xf>
    <xf numFmtId="177" fontId="21" fillId="0" borderId="5" xfId="3" applyFont="1" applyFill="1" applyBorder="1" applyAlignment="1">
      <alignment horizontal="left" vertical="center"/>
    </xf>
    <xf numFmtId="181" fontId="21" fillId="0" borderId="0" xfId="3" applyNumberFormat="1" applyFont="1" applyFill="1" applyBorder="1" applyAlignment="1">
      <alignment horizontal="center" vertical="center"/>
    </xf>
    <xf numFmtId="181" fontId="21" fillId="0" borderId="6" xfId="3" applyNumberFormat="1" applyFont="1" applyFill="1" applyBorder="1" applyAlignment="1">
      <alignment horizontal="center" vertical="center"/>
    </xf>
    <xf numFmtId="26" fontId="21" fillId="0" borderId="6" xfId="1" applyNumberFormat="1" applyFont="1" applyBorder="1" applyAlignment="1">
      <alignment vertical="center"/>
    </xf>
    <xf numFmtId="181" fontId="21" fillId="0" borderId="29" xfId="3" applyNumberFormat="1" applyFont="1" applyFill="1" applyBorder="1" applyAlignment="1">
      <alignment horizontal="center" vertical="center"/>
    </xf>
    <xf numFmtId="181" fontId="21" fillId="0" borderId="6" xfId="3" applyNumberFormat="1" applyFont="1" applyFill="1" applyBorder="1" applyAlignment="1">
      <alignment horizontal="center" vertical="top"/>
    </xf>
    <xf numFmtId="0" fontId="19" fillId="0" borderId="30" xfId="1" applyFont="1" applyBorder="1"/>
    <xf numFmtId="0" fontId="19" fillId="0" borderId="31" xfId="1" applyFont="1" applyBorder="1"/>
    <xf numFmtId="0" fontId="19" fillId="0" borderId="32" xfId="1" applyFont="1" applyBorder="1"/>
    <xf numFmtId="49" fontId="19" fillId="0" borderId="32" xfId="2" applyNumberFormat="1" applyFont="1" applyFill="1" applyBorder="1" applyAlignment="1"/>
    <xf numFmtId="0" fontId="19" fillId="0" borderId="32" xfId="1" applyFont="1" applyBorder="1" applyAlignment="1">
      <alignment horizontal="right"/>
    </xf>
    <xf numFmtId="0" fontId="8" fillId="0" borderId="32" xfId="1" applyFont="1" applyBorder="1" applyAlignment="1">
      <alignment horizontal="left" vertical="center" indent="2"/>
    </xf>
    <xf numFmtId="0" fontId="11" fillId="0" borderId="32" xfId="1" applyFont="1" applyBorder="1" applyAlignment="1">
      <alignment horizontal="left" vertical="top"/>
    </xf>
    <xf numFmtId="0" fontId="24" fillId="0" borderId="1" xfId="1" applyFont="1" applyBorder="1" applyAlignment="1">
      <alignment horizontal="left" vertical="center"/>
    </xf>
    <xf numFmtId="0" fontId="24" fillId="0" borderId="2" xfId="1" applyFont="1" applyBorder="1" applyAlignment="1">
      <alignment horizontal="left" vertical="center"/>
    </xf>
    <xf numFmtId="0" fontId="24" fillId="0" borderId="3" xfId="1" applyFont="1" applyBorder="1" applyAlignment="1">
      <alignment horizontal="left" vertical="center"/>
    </xf>
    <xf numFmtId="0" fontId="6" fillId="0" borderId="33" xfId="1" applyFont="1" applyBorder="1"/>
    <xf numFmtId="0" fontId="6" fillId="0" borderId="34" xfId="1" applyFont="1" applyBorder="1"/>
    <xf numFmtId="49" fontId="6" fillId="0" borderId="34" xfId="2" applyNumberFormat="1" applyFont="1" applyFill="1" applyBorder="1" applyAlignment="1"/>
    <xf numFmtId="0" fontId="6" fillId="0" borderId="34" xfId="1" applyFont="1" applyBorder="1" applyAlignment="1">
      <alignment horizontal="right"/>
    </xf>
    <xf numFmtId="0" fontId="6" fillId="0" borderId="34" xfId="1" applyFont="1" applyBorder="1" applyAlignment="1">
      <alignment horizontal="left" vertical="center" indent="2"/>
    </xf>
    <xf numFmtId="0" fontId="5" fillId="0" borderId="34" xfId="1" applyFont="1" applyBorder="1"/>
    <xf numFmtId="0" fontId="6" fillId="0" borderId="35" xfId="1" applyFont="1" applyBorder="1"/>
    <xf numFmtId="0" fontId="6" fillId="0" borderId="36" xfId="1" applyFont="1" applyBorder="1"/>
    <xf numFmtId="177" fontId="6" fillId="0" borderId="34" xfId="3" applyFont="1" applyFill="1" applyBorder="1" applyAlignment="1"/>
    <xf numFmtId="0" fontId="6" fillId="0" borderId="37" xfId="1" applyFont="1" applyBorder="1"/>
    <xf numFmtId="0" fontId="8" fillId="0" borderId="12" xfId="1" applyFont="1" applyBorder="1" applyAlignment="1">
      <alignment horizontal="left" vertical="center"/>
    </xf>
    <xf numFmtId="0" fontId="8" fillId="0" borderId="13" xfId="1" applyFont="1" applyBorder="1" applyAlignment="1">
      <alignment horizontal="left" vertical="center"/>
    </xf>
    <xf numFmtId="0" fontId="8" fillId="0" borderId="14" xfId="1" applyFont="1" applyBorder="1" applyAlignment="1">
      <alignment horizontal="left" vertical="center"/>
    </xf>
    <xf numFmtId="0" fontId="13" fillId="0" borderId="38" xfId="1" applyFont="1" applyBorder="1" applyAlignment="1">
      <alignment vertical="center"/>
    </xf>
    <xf numFmtId="182" fontId="12" fillId="0" borderId="8" xfId="1" applyNumberFormat="1" applyFont="1" applyBorder="1" applyAlignment="1">
      <alignment horizontal="left" vertical="center"/>
    </xf>
    <xf numFmtId="182" fontId="12" fillId="0" borderId="9" xfId="1" applyNumberFormat="1" applyFont="1" applyBorder="1" applyAlignment="1">
      <alignment horizontal="left" vertical="center"/>
    </xf>
    <xf numFmtId="182" fontId="12" fillId="0" borderId="11" xfId="1" applyNumberFormat="1" applyFont="1" applyBorder="1" applyAlignment="1">
      <alignment horizontal="left" vertical="center"/>
    </xf>
    <xf numFmtId="0" fontId="15" fillId="0" borderId="6" xfId="1" applyFont="1" applyBorder="1"/>
    <xf numFmtId="0" fontId="17" fillId="0" borderId="9" xfId="1" applyFont="1" applyBorder="1" applyAlignment="1">
      <alignment horizontal="left" vertical="top"/>
    </xf>
    <xf numFmtId="0" fontId="17" fillId="0" borderId="11" xfId="1" applyFont="1" applyBorder="1" applyAlignment="1">
      <alignment horizontal="left" vertical="top"/>
    </xf>
    <xf numFmtId="180" fontId="12" fillId="0" borderId="0" xfId="1" applyNumberFormat="1" applyFont="1" applyAlignment="1">
      <alignment vertical="center"/>
    </xf>
    <xf numFmtId="0" fontId="8" fillId="0" borderId="26" xfId="1" applyFont="1" applyBorder="1" applyAlignment="1">
      <alignment horizontal="left" vertical="center"/>
    </xf>
    <xf numFmtId="0" fontId="8" fillId="0" borderId="24" xfId="1" applyFont="1" applyBorder="1" applyAlignment="1">
      <alignment horizontal="left" vertical="center"/>
    </xf>
    <xf numFmtId="0" fontId="8" fillId="0" borderId="25" xfId="1" applyFont="1" applyBorder="1" applyAlignment="1">
      <alignment horizontal="left" vertical="center"/>
    </xf>
    <xf numFmtId="0" fontId="8" fillId="0" borderId="38" xfId="1" applyFont="1" applyBorder="1" applyAlignment="1">
      <alignment horizontal="left" vertical="center"/>
    </xf>
    <xf numFmtId="26" fontId="21" fillId="0" borderId="0" xfId="1" applyNumberFormat="1" applyFont="1" applyAlignment="1">
      <alignment horizontal="right" vertical="center"/>
    </xf>
    <xf numFmtId="26" fontId="21" fillId="0" borderId="38" xfId="1" applyNumberFormat="1" applyFont="1" applyBorder="1" applyAlignment="1">
      <alignment horizontal="right" vertical="center"/>
    </xf>
    <xf numFmtId="0" fontId="25" fillId="0" borderId="5" xfId="1" applyFont="1" applyBorder="1" applyAlignment="1">
      <alignment horizontal="left" vertical="center"/>
    </xf>
    <xf numFmtId="26" fontId="21" fillId="0" borderId="38" xfId="1" applyNumberFormat="1" applyFont="1" applyBorder="1" applyAlignment="1">
      <alignment vertical="center"/>
    </xf>
    <xf numFmtId="0" fontId="19" fillId="0" borderId="0" xfId="4" applyFont="1"/>
    <xf numFmtId="0" fontId="21" fillId="0" borderId="0" xfId="1" quotePrefix="1" applyFont="1" applyAlignment="1">
      <alignment horizontal="left"/>
    </xf>
    <xf numFmtId="0" fontId="5" fillId="0" borderId="0" xfId="0" applyFont="1"/>
    <xf numFmtId="0" fontId="5" fillId="0" borderId="6" xfId="1" applyFont="1" applyBorder="1" applyAlignment="1">
      <alignment horizontal="left" vertical="center"/>
    </xf>
    <xf numFmtId="177" fontId="5" fillId="0" borderId="0" xfId="3" applyFont="1" applyFill="1" applyBorder="1" applyAlignment="1">
      <alignment horizontal="left" vertical="center"/>
    </xf>
    <xf numFmtId="177" fontId="5" fillId="0" borderId="5" xfId="3" applyFont="1" applyFill="1" applyBorder="1" applyAlignment="1">
      <alignment horizontal="left" vertical="center"/>
    </xf>
    <xf numFmtId="181" fontId="5" fillId="0" borderId="29" xfId="3" applyNumberFormat="1" applyFont="1" applyFill="1" applyBorder="1" applyAlignment="1">
      <alignment horizontal="center" vertical="center"/>
    </xf>
    <xf numFmtId="181" fontId="5" fillId="0" borderId="6" xfId="3" applyNumberFormat="1" applyFont="1" applyFill="1" applyBorder="1" applyAlignment="1">
      <alignment horizontal="center" vertical="top"/>
    </xf>
    <xf numFmtId="26" fontId="5" fillId="0" borderId="5" xfId="1" applyNumberFormat="1" applyFont="1" applyBorder="1" applyAlignment="1">
      <alignment horizontal="right" vertical="center"/>
    </xf>
    <xf numFmtId="26" fontId="5" fillId="0" borderId="6" xfId="1" applyNumberFormat="1" applyFont="1" applyBorder="1" applyAlignment="1">
      <alignment vertical="center"/>
    </xf>
    <xf numFmtId="26" fontId="5" fillId="0" borderId="38" xfId="1" applyNumberFormat="1" applyFont="1" applyBorder="1" applyAlignment="1">
      <alignment vertical="center"/>
    </xf>
    <xf numFmtId="0" fontId="22" fillId="0" borderId="5" xfId="1" applyFont="1" applyBorder="1" applyAlignment="1">
      <alignment horizontal="left" vertical="center"/>
    </xf>
    <xf numFmtId="0" fontId="22" fillId="0" borderId="0" xfId="1" applyFont="1"/>
    <xf numFmtId="0" fontId="5" fillId="0" borderId="0" xfId="1" applyFont="1" applyAlignment="1">
      <alignment horizontal="left" vertical="center"/>
    </xf>
    <xf numFmtId="0" fontId="5" fillId="0" borderId="29" xfId="1" applyFont="1" applyBorder="1" applyAlignment="1">
      <alignment horizontal="center" vertical="center"/>
    </xf>
    <xf numFmtId="26" fontId="5" fillId="0" borderId="6" xfId="1" applyNumberFormat="1" applyFont="1" applyBorder="1" applyAlignment="1">
      <alignment vertical="center"/>
    </xf>
    <xf numFmtId="0" fontId="5" fillId="0" borderId="5" xfId="1" applyFont="1" applyBorder="1"/>
    <xf numFmtId="177" fontId="5" fillId="0" borderId="5" xfId="3" applyFont="1" applyFill="1" applyBorder="1" applyAlignment="1">
      <alignment horizontal="right" vertical="center"/>
    </xf>
    <xf numFmtId="0" fontId="5" fillId="0" borderId="6" xfId="1" applyFont="1" applyBorder="1" applyAlignment="1">
      <alignment horizontal="center" vertical="center"/>
    </xf>
    <xf numFmtId="0" fontId="19" fillId="0" borderId="0" xfId="1" applyFont="1" applyAlignment="1">
      <alignment horizontal="right"/>
    </xf>
    <xf numFmtId="0" fontId="26" fillId="0" borderId="0" xfId="1" applyFont="1"/>
    <xf numFmtId="49" fontId="6" fillId="0" borderId="0" xfId="2" applyNumberFormat="1" applyFont="1" applyFill="1" applyAlignment="1"/>
    <xf numFmtId="0" fontId="5" fillId="0" borderId="6" xfId="1" applyFont="1" applyBorder="1"/>
    <xf numFmtId="0" fontId="5" fillId="0" borderId="39" xfId="0" applyFont="1" applyBorder="1"/>
    <xf numFmtId="0" fontId="5" fillId="0" borderId="40" xfId="1" applyFont="1" applyBorder="1"/>
    <xf numFmtId="0" fontId="5" fillId="0" borderId="41" xfId="1" applyFont="1" applyBorder="1" applyAlignment="1">
      <alignment horizontal="left" vertical="center"/>
    </xf>
    <xf numFmtId="0" fontId="5" fillId="0" borderId="39" xfId="1" applyFont="1" applyBorder="1" applyAlignment="1">
      <alignment horizontal="left" vertical="center"/>
    </xf>
    <xf numFmtId="177" fontId="5" fillId="0" borderId="40" xfId="3" applyFont="1" applyFill="1" applyBorder="1" applyAlignment="1">
      <alignment horizontal="right" vertical="center"/>
    </xf>
    <xf numFmtId="0" fontId="5" fillId="0" borderId="42" xfId="1" applyFont="1" applyBorder="1" applyAlignment="1">
      <alignment horizontal="center" vertical="center"/>
    </xf>
    <xf numFmtId="0" fontId="5" fillId="0" borderId="41" xfId="1" applyFont="1" applyBorder="1" applyAlignment="1">
      <alignment horizontal="center" vertical="center"/>
    </xf>
    <xf numFmtId="26" fontId="19" fillId="0" borderId="40" xfId="1" applyNumberFormat="1" applyFont="1" applyBorder="1" applyAlignment="1">
      <alignment horizontal="right" vertical="center"/>
    </xf>
    <xf numFmtId="26" fontId="19" fillId="0" borderId="41" xfId="1" applyNumberFormat="1" applyFont="1" applyBorder="1" applyAlignment="1">
      <alignment vertical="center"/>
    </xf>
    <xf numFmtId="26" fontId="5" fillId="0" borderId="43" xfId="1" applyNumberFormat="1" applyFont="1" applyBorder="1" applyAlignment="1">
      <alignment vertical="center"/>
    </xf>
    <xf numFmtId="177" fontId="21" fillId="0" borderId="0" xfId="3" applyFont="1" applyFill="1" applyBorder="1" applyAlignment="1">
      <alignment horizontal="right" vertical="center"/>
    </xf>
    <xf numFmtId="26" fontId="25" fillId="0" borderId="5" xfId="1" applyNumberFormat="1" applyFont="1" applyBorder="1" applyAlignment="1">
      <alignment horizontal="right" vertical="center"/>
    </xf>
    <xf numFmtId="26" fontId="25" fillId="0" borderId="6" xfId="1" applyNumberFormat="1" applyFont="1" applyBorder="1" applyAlignment="1">
      <alignment vertical="center"/>
    </xf>
    <xf numFmtId="177" fontId="21" fillId="0" borderId="0" xfId="3" applyFont="1" applyFill="1" applyBorder="1" applyAlignment="1">
      <alignment horizontal="right"/>
    </xf>
    <xf numFmtId="0" fontId="5" fillId="0" borderId="0" xfId="1" applyFont="1" applyAlignment="1">
      <alignment vertical="center"/>
    </xf>
    <xf numFmtId="0" fontId="19" fillId="0" borderId="0" xfId="1" applyFont="1" applyAlignment="1">
      <alignment vertical="center"/>
    </xf>
    <xf numFmtId="0" fontId="19" fillId="0" borderId="5" xfId="1" applyFont="1" applyBorder="1" applyAlignment="1">
      <alignment horizontal="right" vertical="center"/>
    </xf>
    <xf numFmtId="0" fontId="21" fillId="0" borderId="6" xfId="1" applyFont="1" applyBorder="1"/>
    <xf numFmtId="0" fontId="19" fillId="0" borderId="0" xfId="1" applyFont="1" applyAlignment="1" applyProtection="1">
      <alignment vertical="center"/>
      <protection locked="0"/>
    </xf>
    <xf numFmtId="177" fontId="21" fillId="0" borderId="0" xfId="3" applyFont="1" applyFill="1" applyBorder="1" applyAlignment="1"/>
    <xf numFmtId="0" fontId="19" fillId="0" borderId="0" xfId="1" applyFont="1" applyAlignment="1">
      <alignment horizontal="left" vertical="center"/>
    </xf>
    <xf numFmtId="49" fontId="19" fillId="0" borderId="0" xfId="2" applyNumberFormat="1" applyFont="1" applyFill="1" applyBorder="1" applyAlignment="1">
      <alignment horizontal="left" vertical="center"/>
    </xf>
    <xf numFmtId="0" fontId="19" fillId="0" borderId="0" xfId="1" applyFont="1" applyAlignment="1">
      <alignment horizontal="right" vertical="center"/>
    </xf>
    <xf numFmtId="0" fontId="19" fillId="0" borderId="0" xfId="1" applyFont="1" applyAlignment="1">
      <alignment horizontal="left" vertical="center" indent="2"/>
    </xf>
    <xf numFmtId="0" fontId="19" fillId="0" borderId="0" xfId="1" applyFont="1" applyAlignment="1">
      <alignment horizontal="center" vertical="center"/>
    </xf>
    <xf numFmtId="41" fontId="19" fillId="0" borderId="0" xfId="2" applyFont="1" applyFill="1" applyAlignment="1">
      <alignment horizontal="center"/>
    </xf>
    <xf numFmtId="0" fontId="19" fillId="0" borderId="4" xfId="1" applyFont="1" applyBorder="1"/>
    <xf numFmtId="0" fontId="19" fillId="0" borderId="6" xfId="4" applyFont="1" applyBorder="1"/>
    <xf numFmtId="0" fontId="5" fillId="0" borderId="32" xfId="4" applyFont="1" applyBorder="1"/>
    <xf numFmtId="0" fontId="5" fillId="0" borderId="32" xfId="1" applyFont="1" applyBorder="1"/>
    <xf numFmtId="0" fontId="5" fillId="0" borderId="30" xfId="1" applyFont="1" applyBorder="1" applyAlignment="1">
      <alignment horizontal="left" vertical="center"/>
    </xf>
    <xf numFmtId="177" fontId="5" fillId="0" borderId="32" xfId="3" applyFont="1" applyFill="1" applyBorder="1" applyAlignment="1">
      <alignment horizontal="left" vertical="center"/>
    </xf>
    <xf numFmtId="177" fontId="5" fillId="0" borderId="44" xfId="3" applyFont="1" applyFill="1" applyBorder="1" applyAlignment="1">
      <alignment horizontal="left" vertical="center"/>
    </xf>
    <xf numFmtId="181" fontId="5" fillId="0" borderId="45" xfId="3" applyNumberFormat="1" applyFont="1" applyFill="1" applyBorder="1" applyAlignment="1">
      <alignment horizontal="center" vertical="center"/>
    </xf>
    <xf numFmtId="181" fontId="5" fillId="0" borderId="30" xfId="3" applyNumberFormat="1" applyFont="1" applyFill="1" applyBorder="1" applyAlignment="1">
      <alignment horizontal="center" vertical="top"/>
    </xf>
    <xf numFmtId="26" fontId="19" fillId="0" borderId="44" xfId="1" applyNumberFormat="1" applyFont="1" applyBorder="1" applyAlignment="1">
      <alignment horizontal="right" vertical="center"/>
    </xf>
    <xf numFmtId="26" fontId="19" fillId="0" borderId="32" xfId="1" applyNumberFormat="1" applyFont="1" applyBorder="1" applyAlignment="1">
      <alignment horizontal="right" vertical="center"/>
    </xf>
    <xf numFmtId="26" fontId="5" fillId="0" borderId="46" xfId="1" applyNumberFormat="1" applyFont="1" applyBorder="1" applyAlignment="1">
      <alignment horizontal="right" vertical="center"/>
    </xf>
    <xf numFmtId="0" fontId="19" fillId="0" borderId="0" xfId="1" applyFont="1" applyAlignment="1">
      <alignment horizontal="center"/>
    </xf>
    <xf numFmtId="0" fontId="8" fillId="0" borderId="33" xfId="1" applyFont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177" fontId="5" fillId="0" borderId="0" xfId="3" applyFont="1" applyFill="1" applyBorder="1" applyAlignment="1">
      <alignment horizontal="center"/>
    </xf>
    <xf numFmtId="177" fontId="5" fillId="0" borderId="5" xfId="3" applyFont="1" applyFill="1" applyBorder="1" applyAlignment="1">
      <alignment horizontal="center"/>
    </xf>
    <xf numFmtId="183" fontId="11" fillId="0" borderId="29" xfId="1" applyNumberFormat="1" applyFont="1" applyBorder="1" applyAlignment="1">
      <alignment horizontal="center" vertical="top"/>
    </xf>
    <xf numFmtId="181" fontId="8" fillId="0" borderId="6" xfId="1" applyNumberFormat="1" applyFont="1" applyBorder="1" applyAlignment="1">
      <alignment horizontal="right" vertical="top"/>
    </xf>
    <xf numFmtId="26" fontId="8" fillId="0" borderId="0" xfId="1" applyNumberFormat="1" applyFont="1" applyAlignment="1">
      <alignment horizontal="right" vertical="top"/>
    </xf>
    <xf numFmtId="26" fontId="8" fillId="0" borderId="38" xfId="1" applyNumberFormat="1" applyFont="1" applyBorder="1" applyAlignment="1">
      <alignment horizontal="right" vertical="top"/>
    </xf>
    <xf numFmtId="0" fontId="8" fillId="0" borderId="31" xfId="1" applyFont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8" fillId="0" borderId="46" xfId="1" applyFont="1" applyBorder="1" applyAlignment="1">
      <alignment horizontal="center" vertical="center"/>
    </xf>
    <xf numFmtId="177" fontId="5" fillId="0" borderId="32" xfId="3" applyFont="1" applyFill="1" applyBorder="1" applyAlignment="1">
      <alignment horizontal="center"/>
    </xf>
    <xf numFmtId="177" fontId="5" fillId="0" borderId="44" xfId="3" applyFont="1" applyFill="1" applyBorder="1" applyAlignment="1">
      <alignment horizontal="center"/>
    </xf>
    <xf numFmtId="183" fontId="11" fillId="0" borderId="45" xfId="1" applyNumberFormat="1" applyFont="1" applyBorder="1" applyAlignment="1">
      <alignment horizontal="center" vertical="top"/>
    </xf>
    <xf numFmtId="26" fontId="8" fillId="0" borderId="30" xfId="1" applyNumberFormat="1" applyFont="1" applyBorder="1" applyAlignment="1">
      <alignment horizontal="right" vertical="top"/>
    </xf>
    <xf numFmtId="26" fontId="8" fillId="0" borderId="32" xfId="1" applyNumberFormat="1" applyFont="1" applyBorder="1" applyAlignment="1">
      <alignment horizontal="right" vertical="top"/>
    </xf>
    <xf numFmtId="26" fontId="8" fillId="0" borderId="46" xfId="1" applyNumberFormat="1" applyFont="1" applyBorder="1" applyAlignment="1">
      <alignment horizontal="right" vertical="top"/>
    </xf>
    <xf numFmtId="0" fontId="27" fillId="0" borderId="1" xfId="1" applyFont="1" applyBorder="1" applyAlignment="1">
      <alignment horizontal="center" vertical="center"/>
    </xf>
    <xf numFmtId="0" fontId="27" fillId="0" borderId="2" xfId="1" applyFont="1" applyBorder="1" applyAlignment="1">
      <alignment horizontal="center" vertical="center"/>
    </xf>
    <xf numFmtId="0" fontId="27" fillId="0" borderId="3" xfId="1" applyFont="1" applyBorder="1" applyAlignment="1">
      <alignment horizontal="center" vertical="center"/>
    </xf>
    <xf numFmtId="177" fontId="6" fillId="0" borderId="0" xfId="3" applyFont="1" applyFill="1" applyAlignment="1"/>
    <xf numFmtId="26" fontId="6" fillId="0" borderId="0" xfId="1" applyNumberFormat="1" applyFont="1"/>
    <xf numFmtId="0" fontId="28" fillId="0" borderId="0" xfId="1" applyFont="1" applyAlignment="1">
      <alignment horizontal="left"/>
    </xf>
    <xf numFmtId="0" fontId="28" fillId="0" borderId="0" xfId="1" applyFont="1"/>
  </cellXfs>
  <cellStyles count="5">
    <cellStyle name="쉼표 [0] 2" xfId="3" xr:uid="{A66C569C-F12E-4AC9-82E1-BADCA256B54B}"/>
    <cellStyle name="쉼표 [0] 5" xfId="2" xr:uid="{0A898BF1-2063-4D41-82B2-4342F65EEA50}"/>
    <cellStyle name="표준" xfId="0" builtinId="0"/>
    <cellStyle name="표준 2" xfId="1" xr:uid="{266EA69D-B97E-4DB3-9CFD-E71D3A3C2ED6}"/>
    <cellStyle name="표준 6" xfId="4" xr:uid="{452C7C7B-0000-4AB5-82B5-DB93CC1FFC36}"/>
  </cellStyles>
  <dxfs count="9">
    <dxf>
      <numFmt numFmtId="176" formatCode=";;;"/>
    </dxf>
    <dxf>
      <numFmt numFmtId="176" formatCode=";;;"/>
    </dxf>
    <dxf>
      <numFmt numFmtId="176" formatCode=";;;"/>
    </dxf>
    <dxf>
      <numFmt numFmtId="176" formatCode=";;;"/>
    </dxf>
    <dxf>
      <numFmt numFmtId="176" formatCode=";;;"/>
    </dxf>
    <dxf>
      <numFmt numFmtId="176" formatCode=";;;"/>
    </dxf>
    <dxf>
      <numFmt numFmtId="176" formatCode=";;;"/>
    </dxf>
    <dxf>
      <numFmt numFmtId="176" formatCode=";;;"/>
    </dxf>
    <dxf>
      <numFmt numFmtId="176" formatCode=";;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1638300</xdr:colOff>
      <xdr:row>115</xdr:row>
      <xdr:rowOff>114300</xdr:rowOff>
    </xdr:from>
    <xdr:ext cx="2780949" cy="628571"/>
    <xdr:pic>
      <xdr:nvPicPr>
        <xdr:cNvPr id="2" name="그림 1" hidden="1">
          <a:extLst>
            <a:ext uri="{FF2B5EF4-FFF2-40B4-BE49-F238E27FC236}">
              <a16:creationId xmlns:a16="http://schemas.microsoft.com/office/drawing/2014/main" id="{B7715595-ABE4-4CBB-8FC8-C84A33C20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90950" y="18830925"/>
          <a:ext cx="2780949" cy="628571"/>
        </a:xfrm>
        <a:prstGeom prst="rect">
          <a:avLst/>
        </a:prstGeom>
      </xdr:spPr>
    </xdr:pic>
    <xdr:clientData/>
  </xdr:oneCellAnchor>
  <xdr:twoCellAnchor editAs="oneCell">
    <xdr:from>
      <xdr:col>1</xdr:col>
      <xdr:colOff>147108</xdr:colOff>
      <xdr:row>20</xdr:row>
      <xdr:rowOff>1059</xdr:rowOff>
    </xdr:from>
    <xdr:to>
      <xdr:col>4</xdr:col>
      <xdr:colOff>114300</xdr:colOff>
      <xdr:row>23</xdr:row>
      <xdr:rowOff>134409</xdr:rowOff>
    </xdr:to>
    <xdr:sp macro="[1]!AutoShape1_Click" textlink="">
      <xdr:nvSpPr>
        <xdr:cNvPr id="3" name="AutoShape 1">
          <a:extLst>
            <a:ext uri="{FF2B5EF4-FFF2-40B4-BE49-F238E27FC236}">
              <a16:creationId xmlns:a16="http://schemas.microsoft.com/office/drawing/2014/main" id="{7891CC13-BDBF-499C-A90D-B9D6FA7D9FB4}"/>
            </a:ext>
          </a:extLst>
        </xdr:cNvPr>
        <xdr:cNvSpPr>
          <a:spLocks noChangeArrowheads="1"/>
        </xdr:cNvSpPr>
      </xdr:nvSpPr>
      <xdr:spPr bwMode="auto">
        <a:xfrm>
          <a:off x="202353" y="3439584"/>
          <a:ext cx="1197822" cy="58674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41148" rIns="36576" bIns="0" anchor="t" upright="1"/>
        <a:lstStyle/>
        <a:p>
          <a:pPr algn="ctr" rtl="0">
            <a:defRPr sz="1000"/>
          </a:pPr>
          <a:r>
            <a:rPr lang="en-US" altLang="ko-KR" sz="1100" b="1" i="0" strike="noStrike">
              <a:solidFill>
                <a:srgbClr val="000000"/>
              </a:solidFill>
              <a:latin typeface="Arial Black"/>
            </a:rPr>
            <a:t>D.T.</a:t>
          </a:r>
        </a:p>
      </xdr:txBody>
    </xdr:sp>
    <xdr:clientData/>
  </xdr:twoCellAnchor>
  <xdr:twoCellAnchor>
    <xdr:from>
      <xdr:col>9</xdr:col>
      <xdr:colOff>85725</xdr:colOff>
      <xdr:row>115</xdr:row>
      <xdr:rowOff>809625</xdr:rowOff>
    </xdr:from>
    <xdr:to>
      <xdr:col>16</xdr:col>
      <xdr:colOff>562200</xdr:colOff>
      <xdr:row>115</xdr:row>
      <xdr:rowOff>809625</xdr:rowOff>
    </xdr:to>
    <xdr:sp macro="" textlink="">
      <xdr:nvSpPr>
        <xdr:cNvPr id="4" name="Line 47">
          <a:extLst>
            <a:ext uri="{FF2B5EF4-FFF2-40B4-BE49-F238E27FC236}">
              <a16:creationId xmlns:a16="http://schemas.microsoft.com/office/drawing/2014/main" id="{CB327311-6C4E-438A-B743-1DB192A1557A}"/>
            </a:ext>
          </a:extLst>
        </xdr:cNvPr>
        <xdr:cNvSpPr>
          <a:spLocks noChangeShapeType="1"/>
        </xdr:cNvSpPr>
      </xdr:nvSpPr>
      <xdr:spPr bwMode="auto">
        <a:xfrm>
          <a:off x="3964305" y="19528155"/>
          <a:ext cx="264436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1</xdr:col>
      <xdr:colOff>171450</xdr:colOff>
      <xdr:row>77</xdr:row>
      <xdr:rowOff>61383</xdr:rowOff>
    </xdr:from>
    <xdr:to>
      <xdr:col>4</xdr:col>
      <xdr:colOff>131022</xdr:colOff>
      <xdr:row>81</xdr:row>
      <xdr:rowOff>37041</xdr:rowOff>
    </xdr:to>
    <xdr:sp macro="[1]!AutoShape1_Click" textlink="">
      <xdr:nvSpPr>
        <xdr:cNvPr id="5" name="AutoShape 1">
          <a:extLst>
            <a:ext uri="{FF2B5EF4-FFF2-40B4-BE49-F238E27FC236}">
              <a16:creationId xmlns:a16="http://schemas.microsoft.com/office/drawing/2014/main" id="{BB166412-A18E-41FA-9BAF-C60F9D5928B7}"/>
            </a:ext>
          </a:extLst>
        </xdr:cNvPr>
        <xdr:cNvSpPr>
          <a:spLocks noChangeArrowheads="1"/>
        </xdr:cNvSpPr>
      </xdr:nvSpPr>
      <xdr:spPr bwMode="auto">
        <a:xfrm>
          <a:off x="224790" y="12973473"/>
          <a:ext cx="1195917" cy="589068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41148" rIns="36576" bIns="0" anchor="t" upright="1"/>
        <a:lstStyle/>
        <a:p>
          <a:pPr algn="ctr" rtl="0">
            <a:defRPr sz="1000"/>
          </a:pPr>
          <a:r>
            <a:rPr lang="en-US" altLang="ko-KR" sz="1100" b="1" i="0" strike="noStrike">
              <a:solidFill>
                <a:srgbClr val="000000"/>
              </a:solidFill>
              <a:latin typeface="Arial Black"/>
            </a:rPr>
            <a:t>D.T.</a:t>
          </a:r>
        </a:p>
      </xdr:txBody>
    </xdr:sp>
    <xdr:clientData/>
  </xdr:twoCellAnchor>
  <xdr:twoCellAnchor editAs="oneCell">
    <xdr:from>
      <xdr:col>9</xdr:col>
      <xdr:colOff>28576</xdr:colOff>
      <xdr:row>12</xdr:row>
      <xdr:rowOff>142875</xdr:rowOff>
    </xdr:from>
    <xdr:to>
      <xdr:col>16</xdr:col>
      <xdr:colOff>590550</xdr:colOff>
      <xdr:row>17</xdr:row>
      <xdr:rowOff>0</xdr:rowOff>
    </xdr:to>
    <xdr:sp macro="" textlink="">
      <xdr:nvSpPr>
        <xdr:cNvPr id="6" name="Rectangle 1">
          <a:extLst>
            <a:ext uri="{FF2B5EF4-FFF2-40B4-BE49-F238E27FC236}">
              <a16:creationId xmlns:a16="http://schemas.microsoft.com/office/drawing/2014/main" id="{FF6650D7-AFEF-4E58-B38C-9CC13A1F7420}"/>
            </a:ext>
          </a:extLst>
        </xdr:cNvPr>
        <xdr:cNvSpPr>
          <a:spLocks noChangeArrowheads="1"/>
        </xdr:cNvSpPr>
      </xdr:nvSpPr>
      <xdr:spPr bwMode="auto">
        <a:xfrm>
          <a:off x="3903346" y="2341245"/>
          <a:ext cx="2731769" cy="6972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+mn-lt"/>
              <a:ea typeface="돋움"/>
            </a:rPr>
            <a:t>A. This shipment doesn't  contain solid wooden packing material.</a:t>
          </a: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FF"/>
              </a:solidFill>
              <a:latin typeface="+mn-lt"/>
              <a:ea typeface="돋움"/>
            </a:rPr>
            <a:t>B. LCL by Rohlig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FF0000"/>
            </a:solidFill>
            <a:latin typeface="+mn-lt"/>
            <a:ea typeface="돋움"/>
          </a:endParaRPr>
        </a:p>
        <a:p>
          <a:pPr algn="l" rtl="0">
            <a:defRPr sz="1000"/>
          </a:pPr>
          <a:endParaRPr lang="en-US" altLang="ko-KR" sz="1100" b="0" i="0" strike="noStrike">
            <a:solidFill>
              <a:srgbClr val="0000FF"/>
            </a:solidFill>
            <a:latin typeface="+mn-lt"/>
            <a:ea typeface="돋움"/>
            <a:cs typeface="+mn-cs"/>
          </a:endParaRPr>
        </a:p>
      </xdr:txBody>
    </xdr:sp>
    <xdr:clientData/>
  </xdr:twoCellAnchor>
  <xdr:twoCellAnchor editAs="oneCell">
    <xdr:from>
      <xdr:col>9</xdr:col>
      <xdr:colOff>19050</xdr:colOff>
      <xdr:row>70</xdr:row>
      <xdr:rowOff>161925</xdr:rowOff>
    </xdr:from>
    <xdr:to>
      <xdr:col>16</xdr:col>
      <xdr:colOff>590550</xdr:colOff>
      <xdr:row>75</xdr:row>
      <xdr:rowOff>0</xdr:rowOff>
    </xdr:to>
    <xdr:sp macro="" textlink="">
      <xdr:nvSpPr>
        <xdr:cNvPr id="7" name="Rectangle 2">
          <a:extLst>
            <a:ext uri="{FF2B5EF4-FFF2-40B4-BE49-F238E27FC236}">
              <a16:creationId xmlns:a16="http://schemas.microsoft.com/office/drawing/2014/main" id="{6213C740-B33D-400B-BA9E-CA40600CA87E}"/>
            </a:ext>
          </a:extLst>
        </xdr:cNvPr>
        <xdr:cNvSpPr>
          <a:spLocks noChangeArrowheads="1"/>
        </xdr:cNvSpPr>
      </xdr:nvSpPr>
      <xdr:spPr bwMode="auto">
        <a:xfrm>
          <a:off x="3891915" y="12012930"/>
          <a:ext cx="2743200" cy="6743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+mn-lt"/>
              <a:ea typeface="돋움"/>
            </a:rPr>
            <a:t>A. This shipment doesn't  contain solid wooden packing material.</a:t>
          </a: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FF"/>
              </a:solidFill>
              <a:latin typeface="+mn-lt"/>
              <a:ea typeface="돋움"/>
            </a:rPr>
            <a:t>B. LCL by Rohlig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FF0000"/>
            </a:solidFill>
            <a:latin typeface="+mn-lt"/>
            <a:ea typeface="돋움"/>
          </a:endParaRPr>
        </a:p>
        <a:p>
          <a:pPr algn="l" rtl="0">
            <a:defRPr sz="1000"/>
          </a:pPr>
          <a:endParaRPr lang="en-US" altLang="ko-KR" sz="1100" b="0" i="0" strike="noStrike">
            <a:solidFill>
              <a:srgbClr val="0000FF"/>
            </a:solidFill>
            <a:latin typeface="+mn-lt"/>
            <a:ea typeface="돋움"/>
            <a:cs typeface="+mn-cs"/>
          </a:endParaRPr>
        </a:p>
      </xdr:txBody>
    </xdr:sp>
    <xdr:clientData/>
  </xdr:twoCellAnchor>
  <xdr:twoCellAnchor editAs="oneCell">
    <xdr:from>
      <xdr:col>11</xdr:col>
      <xdr:colOff>38100</xdr:colOff>
      <xdr:row>115</xdr:row>
      <xdr:rowOff>314325</xdr:rowOff>
    </xdr:from>
    <xdr:to>
      <xdr:col>16</xdr:col>
      <xdr:colOff>243840</xdr:colOff>
      <xdr:row>115</xdr:row>
      <xdr:rowOff>703756</xdr:rowOff>
    </xdr:to>
    <xdr:pic>
      <xdr:nvPicPr>
        <xdr:cNvPr id="8" name="그림 16">
          <a:extLst>
            <a:ext uri="{FF2B5EF4-FFF2-40B4-BE49-F238E27FC236}">
              <a16:creationId xmlns:a16="http://schemas.microsoft.com/office/drawing/2014/main" id="{4951B224-A423-4480-879A-C6FC3976AB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38625" y="19032855"/>
          <a:ext cx="2049780" cy="397051"/>
        </a:xfrm>
        <a:prstGeom prst="rect">
          <a:avLst/>
        </a:prstGeom>
      </xdr:spPr>
    </xdr:pic>
    <xdr:clientData/>
  </xdr:twoCellAnchor>
  <xdr:twoCellAnchor>
    <xdr:from>
      <xdr:col>1</xdr:col>
      <xdr:colOff>22225</xdr:colOff>
      <xdr:row>58</xdr:row>
      <xdr:rowOff>31750</xdr:rowOff>
    </xdr:from>
    <xdr:to>
      <xdr:col>4</xdr:col>
      <xdr:colOff>79554</xdr:colOff>
      <xdr:row>58</xdr:row>
      <xdr:rowOff>431856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F1314997-A30F-4F8A-BE7F-1499B34E67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5565" y="9697720"/>
          <a:ext cx="1289864" cy="405821"/>
        </a:xfrm>
        <a:prstGeom prst="rect">
          <a:avLst/>
        </a:prstGeom>
      </xdr:spPr>
    </xdr:pic>
    <xdr:clientData/>
  </xdr:twoCellAnchor>
  <xdr:twoCellAnchor editAs="oneCell">
    <xdr:from>
      <xdr:col>1</xdr:col>
      <xdr:colOff>11642</xdr:colOff>
      <xdr:row>0</xdr:row>
      <xdr:rowOff>31750</xdr:rowOff>
    </xdr:from>
    <xdr:to>
      <xdr:col>4</xdr:col>
      <xdr:colOff>59446</xdr:colOff>
      <xdr:row>0</xdr:row>
      <xdr:rowOff>439476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D54EA918-727E-42FB-8198-B876BF66DA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602" y="29845"/>
          <a:ext cx="1280339" cy="40582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9d249ee2be24401c/office%20extension/&#49352;%20&#48372;&#44256;&#49436;%20Util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invoice"/>
      <sheetName val="Packing"/>
      <sheetName val="Packing_plt"/>
      <sheetName val="HS_CODE"/>
      <sheetName val="Certificate of Origin"/>
      <sheetName val="Exportex"/>
      <sheetName val="Exportex_PLT"/>
      <sheetName val="Sheet6"/>
      <sheetName val="밧데리내역"/>
      <sheetName val="밧데리입출고내역"/>
      <sheetName val="업체별부품출고예상"/>
      <sheetName val="부족자재리스트"/>
      <sheetName val="Sheet7"/>
      <sheetName val="Sheet5"/>
      <sheetName val="DT주소"/>
      <sheetName val="Sheet2"/>
      <sheetName val="Sheet3"/>
      <sheetName val="Certificate of Origin (2)"/>
      <sheetName val="Sheet1_old"/>
      <sheetName val="Sheet4"/>
      <sheetName val="새 보고서 Util"/>
    </sheetNames>
    <definedNames>
      <definedName name="AutoShape1_Click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8BA6D-16F6-4411-A79F-18B40A61F44A}">
  <dimension ref="A1:W137"/>
  <sheetViews>
    <sheetView tabSelected="1" topLeftCell="A31" zoomScaleNormal="100" workbookViewId="0">
      <selection activeCell="X61" sqref="X61"/>
    </sheetView>
  </sheetViews>
  <sheetFormatPr defaultColWidth="9" defaultRowHeight="13.8" x14ac:dyDescent="0.25"/>
  <cols>
    <col min="1" max="1" width="0.69921875" style="7" customWidth="1"/>
    <col min="2" max="2" width="7.69921875" style="7" customWidth="1"/>
    <col min="3" max="3" width="5.8984375" style="257" customWidth="1"/>
    <col min="4" max="4" width="2.5" style="9" customWidth="1"/>
    <col min="5" max="5" width="1.8984375" style="10" customWidth="1"/>
    <col min="6" max="6" width="3.59765625" style="7" customWidth="1"/>
    <col min="7" max="7" width="2.19921875" style="7" customWidth="1"/>
    <col min="8" max="8" width="3.59765625" style="4" customWidth="1"/>
    <col min="9" max="9" width="22.59765625" style="7" customWidth="1"/>
    <col min="10" max="10" width="3.19921875" style="7" customWidth="1"/>
    <col min="11" max="11" width="1" style="7" customWidth="1"/>
    <col min="12" max="12" width="6" style="319" customWidth="1"/>
    <col min="13" max="13" width="4.19921875" style="7" customWidth="1"/>
    <col min="14" max="14" width="2.59765625" style="7" customWidth="1"/>
    <col min="15" max="15" width="8.3984375" style="7" customWidth="1"/>
    <col min="16" max="16" width="3" style="7" customWidth="1"/>
    <col min="17" max="17" width="8.19921875" style="7" customWidth="1"/>
    <col min="18" max="18" width="2.09765625" style="7" customWidth="1"/>
    <col min="19" max="19" width="4" style="42" bestFit="1" customWidth="1"/>
    <col min="20" max="20" width="2.19921875" style="7" customWidth="1"/>
    <col min="21" max="21" width="4" style="7" bestFit="1" customWidth="1"/>
    <col min="22" max="22" width="3.69921875" style="7" customWidth="1"/>
    <col min="23" max="23" width="9.09765625" style="7" customWidth="1"/>
    <col min="24" max="16384" width="9" style="7"/>
  </cols>
  <sheetData>
    <row r="1" spans="1:22" s="4" customFormat="1" ht="36.75" customHeight="1" thickBo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S1" s="5"/>
    </row>
    <row r="2" spans="1:22" s="4" customFormat="1" ht="3" customHeight="1" x14ac:dyDescent="0.25">
      <c r="A2" s="6" t="s">
        <v>1</v>
      </c>
      <c r="B2" s="7" t="s">
        <v>2</v>
      </c>
      <c r="C2" s="8"/>
      <c r="D2" s="9"/>
      <c r="E2" s="10"/>
      <c r="F2" s="7"/>
      <c r="G2" s="7"/>
      <c r="I2" s="11"/>
      <c r="J2" s="12"/>
      <c r="K2" s="7"/>
      <c r="L2" s="13"/>
      <c r="M2" s="7"/>
      <c r="N2" s="7"/>
      <c r="O2" s="7"/>
      <c r="P2" s="7"/>
      <c r="Q2" s="14"/>
      <c r="S2" s="5"/>
    </row>
    <row r="3" spans="1:22" s="4" customFormat="1" ht="12" customHeight="1" x14ac:dyDescent="0.2">
      <c r="A3" s="15" t="s">
        <v>3</v>
      </c>
      <c r="B3" s="16"/>
      <c r="C3" s="16"/>
      <c r="D3" s="16"/>
      <c r="E3" s="16"/>
      <c r="F3" s="16"/>
      <c r="G3" s="16"/>
      <c r="H3" s="16"/>
      <c r="I3" s="17"/>
      <c r="J3" s="18" t="s">
        <v>4</v>
      </c>
      <c r="K3" s="19"/>
      <c r="L3" s="19"/>
      <c r="M3" s="19"/>
      <c r="N3" s="19"/>
      <c r="O3" s="19"/>
      <c r="P3" s="19"/>
      <c r="Q3" s="20"/>
      <c r="S3" s="5"/>
    </row>
    <row r="4" spans="1:22" s="32" customFormat="1" x14ac:dyDescent="0.25">
      <c r="A4" s="21"/>
      <c r="B4" s="22" t="s">
        <v>5</v>
      </c>
      <c r="C4" s="23"/>
      <c r="D4" s="24"/>
      <c r="E4" s="25"/>
      <c r="F4" s="26"/>
      <c r="G4" s="26"/>
      <c r="H4" s="26"/>
      <c r="I4" s="27" t="s">
        <v>6</v>
      </c>
      <c r="J4" s="28" t="s">
        <v>7</v>
      </c>
      <c r="K4" s="29"/>
      <c r="L4" s="29"/>
      <c r="M4" s="30"/>
      <c r="N4" s="30"/>
      <c r="O4" s="30"/>
      <c r="P4" s="30"/>
      <c r="Q4" s="31"/>
      <c r="S4" s="33"/>
    </row>
    <row r="5" spans="1:22" x14ac:dyDescent="0.25">
      <c r="A5" s="21"/>
      <c r="B5" s="34" t="s">
        <v>8</v>
      </c>
      <c r="C5" s="34"/>
      <c r="D5" s="34"/>
      <c r="E5" s="34"/>
      <c r="F5" s="34"/>
      <c r="G5" s="34"/>
      <c r="H5" s="34"/>
      <c r="I5" s="35"/>
      <c r="J5" s="36"/>
      <c r="K5" s="37"/>
      <c r="L5" s="38"/>
      <c r="M5" s="39"/>
      <c r="N5" s="37"/>
      <c r="O5" s="37"/>
      <c r="P5" s="40" t="s">
        <v>9</v>
      </c>
      <c r="Q5" s="41"/>
    </row>
    <row r="6" spans="1:22" x14ac:dyDescent="0.25">
      <c r="A6" s="21"/>
      <c r="B6" s="43" t="s">
        <v>10</v>
      </c>
      <c r="C6" s="43"/>
      <c r="D6" s="43"/>
      <c r="E6" s="43"/>
      <c r="F6" s="43"/>
      <c r="G6" s="43"/>
      <c r="H6" s="43"/>
      <c r="I6" s="44"/>
      <c r="J6" s="45" t="s">
        <v>11</v>
      </c>
      <c r="K6" s="46"/>
      <c r="L6" s="47"/>
      <c r="M6" s="48"/>
      <c r="N6" s="48"/>
      <c r="O6" s="48"/>
      <c r="P6" s="32"/>
      <c r="Q6" s="49"/>
    </row>
    <row r="7" spans="1:22" ht="14.25" customHeight="1" x14ac:dyDescent="0.25">
      <c r="A7" s="50" t="s">
        <v>12</v>
      </c>
      <c r="B7" s="51"/>
      <c r="C7" s="51"/>
      <c r="D7" s="51"/>
      <c r="E7" s="51"/>
      <c r="F7" s="51"/>
      <c r="G7" s="51"/>
      <c r="H7" s="51"/>
      <c r="I7" s="52"/>
      <c r="J7" s="53" t="s">
        <v>13</v>
      </c>
      <c r="K7" s="54"/>
      <c r="L7" s="54"/>
      <c r="M7" s="54"/>
      <c r="N7" s="54"/>
      <c r="O7" s="54"/>
      <c r="P7" s="54"/>
      <c r="Q7" s="55"/>
      <c r="V7" s="56"/>
    </row>
    <row r="8" spans="1:22" x14ac:dyDescent="0.25">
      <c r="A8" s="21"/>
      <c r="B8" s="57" t="s">
        <v>14</v>
      </c>
      <c r="C8" s="58"/>
      <c r="D8" s="59"/>
      <c r="E8" s="60"/>
      <c r="F8" s="57"/>
      <c r="G8" s="57"/>
      <c r="H8" s="56"/>
      <c r="I8" s="61"/>
      <c r="J8" s="62"/>
      <c r="K8" s="37"/>
      <c r="L8" s="63"/>
      <c r="M8" s="64"/>
      <c r="N8" s="65"/>
      <c r="O8" s="39"/>
      <c r="P8" s="39"/>
      <c r="Q8" s="66"/>
      <c r="V8" s="57"/>
    </row>
    <row r="9" spans="1:22" x14ac:dyDescent="0.25">
      <c r="A9" s="21"/>
      <c r="B9" s="67" t="s">
        <v>15</v>
      </c>
      <c r="C9" s="67"/>
      <c r="D9" s="67"/>
      <c r="E9" s="67"/>
      <c r="F9" s="67"/>
      <c r="G9" s="67"/>
      <c r="H9" s="67"/>
      <c r="I9" s="68"/>
      <c r="J9" s="45" t="s">
        <v>16</v>
      </c>
      <c r="K9" s="69"/>
      <c r="L9" s="70"/>
      <c r="M9" s="32"/>
      <c r="N9" s="32"/>
      <c r="O9" s="32"/>
      <c r="P9" s="32"/>
      <c r="Q9" s="49"/>
      <c r="V9" s="71"/>
    </row>
    <row r="10" spans="1:22" x14ac:dyDescent="0.25">
      <c r="A10" s="72"/>
      <c r="B10" s="73" t="s">
        <v>17</v>
      </c>
      <c r="C10" s="74"/>
      <c r="D10" s="75"/>
      <c r="E10" s="76"/>
      <c r="F10" s="73"/>
      <c r="G10" s="73"/>
      <c r="H10" s="77"/>
      <c r="I10" s="78"/>
      <c r="J10" s="79" t="s">
        <v>18</v>
      </c>
      <c r="K10" s="80"/>
      <c r="L10" s="80"/>
      <c r="M10" s="80"/>
      <c r="N10" s="80"/>
      <c r="O10" s="80"/>
      <c r="P10" s="80"/>
      <c r="Q10" s="81"/>
      <c r="V10" s="71"/>
    </row>
    <row r="11" spans="1:22" ht="14.25" customHeight="1" x14ac:dyDescent="0.25">
      <c r="A11" s="50" t="s">
        <v>19</v>
      </c>
      <c r="B11" s="51"/>
      <c r="C11" s="51"/>
      <c r="D11" s="51"/>
      <c r="E11" s="51"/>
      <c r="F11" s="51"/>
      <c r="G11" s="51"/>
      <c r="H11" s="51"/>
      <c r="I11" s="52"/>
      <c r="J11" s="32"/>
      <c r="K11" s="32"/>
      <c r="L11" s="82"/>
      <c r="M11" s="26"/>
      <c r="N11" s="26"/>
      <c r="O11" s="32"/>
      <c r="P11" s="32"/>
      <c r="Q11" s="49"/>
    </row>
    <row r="12" spans="1:22" x14ac:dyDescent="0.25">
      <c r="A12" s="21"/>
      <c r="B12" s="57" t="s">
        <v>14</v>
      </c>
      <c r="C12" s="83"/>
      <c r="D12" s="84"/>
      <c r="E12" s="85"/>
      <c r="F12" s="86"/>
      <c r="G12" s="86"/>
      <c r="H12" s="26"/>
      <c r="I12" s="87"/>
      <c r="J12" s="36"/>
      <c r="K12" s="88"/>
      <c r="L12" s="63"/>
      <c r="M12" s="88"/>
      <c r="N12" s="88"/>
      <c r="O12" s="73"/>
      <c r="P12" s="73"/>
      <c r="Q12" s="89"/>
    </row>
    <row r="13" spans="1:22" ht="14.25" customHeight="1" x14ac:dyDescent="0.25">
      <c r="A13" s="72"/>
      <c r="B13" s="73" t="s">
        <v>20</v>
      </c>
      <c r="C13" s="90"/>
      <c r="D13" s="75"/>
      <c r="E13" s="76"/>
      <c r="F13" s="91"/>
      <c r="G13" s="91"/>
      <c r="H13" s="39"/>
      <c r="I13" s="92"/>
      <c r="J13" s="93" t="s">
        <v>21</v>
      </c>
      <c r="K13" s="94"/>
      <c r="L13" s="94"/>
      <c r="M13" s="94"/>
      <c r="N13" s="94"/>
      <c r="O13" s="71"/>
      <c r="P13" s="71"/>
      <c r="Q13" s="95"/>
    </row>
    <row r="14" spans="1:22" x14ac:dyDescent="0.25">
      <c r="A14" s="96" t="s">
        <v>22</v>
      </c>
      <c r="B14" s="97"/>
      <c r="C14" s="98"/>
      <c r="D14" s="99"/>
      <c r="E14" s="100"/>
      <c r="F14" s="101"/>
      <c r="G14" s="102" t="s">
        <v>23</v>
      </c>
      <c r="H14" s="26"/>
      <c r="I14" s="87"/>
      <c r="J14" s="103"/>
      <c r="K14" s="32"/>
      <c r="L14" s="82"/>
      <c r="M14" s="32"/>
      <c r="N14" s="32"/>
      <c r="O14" s="71"/>
      <c r="P14" s="71"/>
      <c r="Q14" s="95"/>
    </row>
    <row r="15" spans="1:22" x14ac:dyDescent="0.25">
      <c r="A15" s="104"/>
      <c r="B15" s="43" t="s">
        <v>24</v>
      </c>
      <c r="C15" s="43"/>
      <c r="D15" s="43"/>
      <c r="E15" s="43"/>
      <c r="F15" s="44"/>
      <c r="G15" s="105" t="s">
        <v>25</v>
      </c>
      <c r="H15" s="106"/>
      <c r="I15" s="107"/>
      <c r="J15" s="108"/>
      <c r="K15" s="32"/>
      <c r="L15" s="82"/>
      <c r="M15" s="32"/>
      <c r="N15" s="32"/>
      <c r="O15" s="71"/>
      <c r="P15" s="71"/>
      <c r="Q15" s="95"/>
    </row>
    <row r="16" spans="1:22" x14ac:dyDescent="0.25">
      <c r="A16" s="109" t="s">
        <v>26</v>
      </c>
      <c r="B16" s="110"/>
      <c r="C16" s="111"/>
      <c r="D16" s="111"/>
      <c r="E16" s="111"/>
      <c r="F16" s="112"/>
      <c r="G16" s="45" t="s">
        <v>27</v>
      </c>
      <c r="H16" s="26"/>
      <c r="I16" s="87"/>
      <c r="J16" s="113"/>
      <c r="K16" s="71"/>
      <c r="L16" s="114"/>
      <c r="M16" s="71"/>
      <c r="N16" s="71"/>
      <c r="O16" s="71"/>
      <c r="P16" s="71"/>
      <c r="Q16" s="95"/>
    </row>
    <row r="17" spans="1:20" ht="14.25" customHeight="1" x14ac:dyDescent="0.25">
      <c r="A17" s="115"/>
      <c r="B17" s="116" t="s">
        <v>28</v>
      </c>
      <c r="C17" s="116"/>
      <c r="D17" s="116"/>
      <c r="E17" s="116"/>
      <c r="F17" s="117"/>
      <c r="G17" s="118" t="s">
        <v>29</v>
      </c>
      <c r="H17" s="39"/>
      <c r="I17" s="92"/>
      <c r="J17" s="71"/>
      <c r="K17" s="22"/>
      <c r="L17" s="119"/>
      <c r="M17" s="120"/>
      <c r="N17" s="120"/>
      <c r="O17" s="71"/>
      <c r="P17" s="71"/>
      <c r="Q17" s="95"/>
    </row>
    <row r="18" spans="1:20" ht="14.25" customHeight="1" x14ac:dyDescent="0.25">
      <c r="A18" s="121" t="s">
        <v>30</v>
      </c>
      <c r="B18" s="122"/>
      <c r="C18" s="122"/>
      <c r="D18" s="122"/>
      <c r="E18" s="122"/>
      <c r="F18" s="123"/>
      <c r="G18" s="124" t="s">
        <v>31</v>
      </c>
      <c r="H18" s="122"/>
      <c r="I18" s="123"/>
      <c r="J18" s="124" t="s">
        <v>32</v>
      </c>
      <c r="K18" s="122"/>
      <c r="L18" s="123"/>
      <c r="M18" s="125" t="s">
        <v>33</v>
      </c>
      <c r="N18" s="124" t="s">
        <v>34</v>
      </c>
      <c r="O18" s="123"/>
      <c r="P18" s="124" t="s">
        <v>35</v>
      </c>
      <c r="Q18" s="126"/>
    </row>
    <row r="19" spans="1:20" ht="5.25" customHeight="1" x14ac:dyDescent="0.25">
      <c r="A19" s="127"/>
      <c r="B19" s="45"/>
      <c r="C19" s="128"/>
      <c r="D19" s="99"/>
      <c r="E19" s="100"/>
      <c r="F19" s="129"/>
      <c r="G19" s="26"/>
      <c r="H19" s="26"/>
      <c r="I19" s="130"/>
      <c r="J19" s="131"/>
      <c r="K19" s="45"/>
      <c r="L19" s="132"/>
      <c r="M19" s="133"/>
      <c r="N19" s="134"/>
      <c r="O19" s="135"/>
      <c r="P19" s="131"/>
      <c r="Q19" s="136"/>
    </row>
    <row r="20" spans="1:20" ht="12" customHeight="1" x14ac:dyDescent="0.25">
      <c r="A20" s="127"/>
      <c r="B20" s="137">
        <v>1</v>
      </c>
      <c r="C20" s="128"/>
      <c r="D20" s="99"/>
      <c r="E20" s="100"/>
      <c r="F20" s="129"/>
      <c r="G20" s="138" t="s">
        <v>36</v>
      </c>
      <c r="H20" s="139"/>
      <c r="I20" s="140"/>
      <c r="J20" s="141"/>
      <c r="K20" s="141"/>
      <c r="L20" s="142"/>
      <c r="M20" s="143"/>
      <c r="N20" s="144"/>
      <c r="O20" s="145"/>
      <c r="P20" s="146">
        <v>0</v>
      </c>
      <c r="Q20" s="147"/>
    </row>
    <row r="21" spans="1:20" ht="12" customHeight="1" x14ac:dyDescent="0.25">
      <c r="A21" s="127"/>
      <c r="B21" s="45"/>
      <c r="C21" s="128"/>
      <c r="D21" s="99"/>
      <c r="E21" s="100"/>
      <c r="F21" s="129"/>
      <c r="G21" s="148"/>
      <c r="H21" s="141" t="s">
        <v>37</v>
      </c>
      <c r="I21" s="140"/>
      <c r="J21" s="141"/>
      <c r="K21" s="141"/>
      <c r="L21" s="149">
        <v>56</v>
      </c>
      <c r="M21" s="150" t="s">
        <v>38</v>
      </c>
      <c r="N21" s="144"/>
      <c r="O21" s="151">
        <v>45.2</v>
      </c>
      <c r="P21" s="152">
        <v>2531.2000000000003</v>
      </c>
      <c r="Q21" s="153"/>
    </row>
    <row r="22" spans="1:20" ht="12" customHeight="1" x14ac:dyDescent="0.25">
      <c r="A22" s="127"/>
      <c r="B22" s="45"/>
      <c r="C22" s="128"/>
      <c r="D22" s="99"/>
      <c r="E22" s="100"/>
      <c r="F22" s="129"/>
      <c r="G22" s="148"/>
      <c r="H22" s="141" t="s">
        <v>39</v>
      </c>
      <c r="I22" s="140"/>
      <c r="J22" s="141"/>
      <c r="K22" s="141"/>
      <c r="L22" s="149">
        <v>20</v>
      </c>
      <c r="M22" s="150" t="s">
        <v>38</v>
      </c>
      <c r="N22" s="144"/>
      <c r="O22" s="151">
        <v>27</v>
      </c>
      <c r="P22" s="152">
        <v>540</v>
      </c>
      <c r="Q22" s="153"/>
    </row>
    <row r="23" spans="1:20" ht="12" customHeight="1" x14ac:dyDescent="0.25">
      <c r="A23" s="127"/>
      <c r="B23" s="45"/>
      <c r="C23" s="128"/>
      <c r="D23" s="99"/>
      <c r="E23" s="100"/>
      <c r="F23" s="129"/>
      <c r="G23" s="148"/>
      <c r="H23" s="141" t="s">
        <v>40</v>
      </c>
      <c r="I23" s="140"/>
      <c r="J23" s="141"/>
      <c r="K23" s="141"/>
      <c r="L23" s="149">
        <v>20</v>
      </c>
      <c r="M23" s="150" t="s">
        <v>38</v>
      </c>
      <c r="N23" s="144"/>
      <c r="O23" s="151">
        <v>27</v>
      </c>
      <c r="P23" s="152">
        <v>540</v>
      </c>
      <c r="Q23" s="153"/>
    </row>
    <row r="24" spans="1:20" ht="12" customHeight="1" x14ac:dyDescent="0.25">
      <c r="A24" s="127"/>
      <c r="B24" s="45"/>
      <c r="C24" s="128"/>
      <c r="D24" s="99"/>
      <c r="E24" s="100"/>
      <c r="F24" s="129"/>
      <c r="G24" s="148"/>
      <c r="H24" s="141" t="s">
        <v>41</v>
      </c>
      <c r="I24" s="140"/>
      <c r="J24" s="141"/>
      <c r="K24" s="141"/>
      <c r="L24" s="142">
        <v>448</v>
      </c>
      <c r="M24" s="154" t="s">
        <v>42</v>
      </c>
      <c r="N24" s="144"/>
      <c r="O24" s="151">
        <v>42.5</v>
      </c>
      <c r="P24" s="152">
        <v>19040</v>
      </c>
      <c r="Q24" s="153"/>
    </row>
    <row r="25" spans="1:20" ht="12" customHeight="1" x14ac:dyDescent="0.25">
      <c r="A25" s="127"/>
      <c r="B25" s="45"/>
      <c r="C25" s="128"/>
      <c r="D25" s="99"/>
      <c r="E25" s="100"/>
      <c r="F25" s="129"/>
      <c r="G25" s="148"/>
      <c r="H25" s="141" t="s">
        <v>43</v>
      </c>
      <c r="I25" s="140"/>
      <c r="J25" s="141"/>
      <c r="K25" s="141"/>
      <c r="L25" s="149">
        <v>56</v>
      </c>
      <c r="M25" s="150" t="s">
        <v>42</v>
      </c>
      <c r="N25" s="144"/>
      <c r="O25" s="151">
        <v>42.5</v>
      </c>
      <c r="P25" s="152">
        <v>2380</v>
      </c>
      <c r="Q25" s="153"/>
      <c r="T25" s="155"/>
    </row>
    <row r="26" spans="1:20" ht="12" customHeight="1" x14ac:dyDescent="0.25">
      <c r="A26" s="127"/>
      <c r="B26" s="56" t="s">
        <v>44</v>
      </c>
      <c r="C26" s="156"/>
      <c r="D26" s="157"/>
      <c r="E26" s="100"/>
      <c r="F26" s="129"/>
      <c r="G26" s="148"/>
      <c r="H26" s="139" t="s">
        <v>45</v>
      </c>
      <c r="I26" s="140"/>
      <c r="J26" s="141"/>
      <c r="K26" s="141"/>
      <c r="L26" s="149">
        <v>20</v>
      </c>
      <c r="M26" s="150" t="s">
        <v>38</v>
      </c>
      <c r="N26" s="144"/>
      <c r="O26" s="151">
        <v>37</v>
      </c>
      <c r="P26" s="152">
        <v>740</v>
      </c>
      <c r="Q26" s="153"/>
    </row>
    <row r="27" spans="1:20" ht="12" customHeight="1" x14ac:dyDescent="0.25">
      <c r="A27" s="127"/>
      <c r="B27" s="56" t="s">
        <v>46</v>
      </c>
      <c r="C27" s="156"/>
      <c r="D27" s="157"/>
      <c r="E27" s="100"/>
      <c r="F27" s="129"/>
      <c r="G27" s="148"/>
      <c r="H27" s="139" t="s">
        <v>47</v>
      </c>
      <c r="I27" s="140"/>
      <c r="J27" s="141"/>
      <c r="K27" s="141"/>
      <c r="L27" s="149">
        <v>20</v>
      </c>
      <c r="M27" s="150" t="s">
        <v>38</v>
      </c>
      <c r="N27" s="144"/>
      <c r="O27" s="151">
        <v>55</v>
      </c>
      <c r="P27" s="152">
        <v>1100</v>
      </c>
      <c r="Q27" s="153"/>
    </row>
    <row r="28" spans="1:20" ht="12" customHeight="1" x14ac:dyDescent="0.25">
      <c r="A28" s="127"/>
      <c r="B28" s="45" t="s">
        <v>48</v>
      </c>
      <c r="C28" s="158"/>
      <c r="D28" s="157"/>
      <c r="E28" s="100"/>
      <c r="F28" s="129"/>
      <c r="G28" s="148"/>
      <c r="H28" s="141" t="s">
        <v>49</v>
      </c>
      <c r="I28" s="140"/>
      <c r="J28" s="141"/>
      <c r="K28" s="141"/>
      <c r="L28" s="142">
        <v>360</v>
      </c>
      <c r="M28" s="154" t="s">
        <v>42</v>
      </c>
      <c r="N28" s="144"/>
      <c r="O28" s="151">
        <v>59.25</v>
      </c>
      <c r="P28" s="152">
        <v>21330</v>
      </c>
      <c r="Q28" s="153"/>
    </row>
    <row r="29" spans="1:20" ht="12" customHeight="1" x14ac:dyDescent="0.25">
      <c r="A29" s="127"/>
      <c r="B29" s="56" t="s">
        <v>50</v>
      </c>
      <c r="C29" s="159" t="s">
        <v>51</v>
      </c>
      <c r="D29" s="160"/>
      <c r="E29" s="100"/>
      <c r="F29" s="129"/>
      <c r="G29" s="148"/>
      <c r="H29" s="139" t="s">
        <v>52</v>
      </c>
      <c r="I29" s="140"/>
      <c r="J29" s="141"/>
      <c r="K29" s="141"/>
      <c r="L29" s="142">
        <v>36</v>
      </c>
      <c r="M29" s="154" t="s">
        <v>38</v>
      </c>
      <c r="N29" s="161"/>
      <c r="O29" s="151">
        <v>33</v>
      </c>
      <c r="P29" s="152">
        <v>1188</v>
      </c>
      <c r="Q29" s="153"/>
    </row>
    <row r="30" spans="1:20" ht="12" customHeight="1" x14ac:dyDescent="0.25">
      <c r="A30" s="127"/>
      <c r="B30" s="45" t="s">
        <v>53</v>
      </c>
      <c r="C30" s="162" t="s">
        <v>54</v>
      </c>
      <c r="D30" s="157"/>
      <c r="E30" s="100"/>
      <c r="F30" s="129"/>
      <c r="G30" s="148"/>
      <c r="H30" s="139" t="s">
        <v>55</v>
      </c>
      <c r="I30" s="140"/>
      <c r="J30" s="141"/>
      <c r="K30" s="141"/>
      <c r="L30" s="149">
        <v>20</v>
      </c>
      <c r="M30" s="150" t="s">
        <v>38</v>
      </c>
      <c r="N30" s="144"/>
      <c r="O30" s="151">
        <v>55</v>
      </c>
      <c r="P30" s="152">
        <v>1100</v>
      </c>
      <c r="Q30" s="153"/>
    </row>
    <row r="31" spans="1:20" ht="12" customHeight="1" x14ac:dyDescent="0.25">
      <c r="A31" s="127"/>
      <c r="B31" s="45" t="s">
        <v>56</v>
      </c>
      <c r="C31" s="128"/>
      <c r="D31" s="99"/>
      <c r="E31" s="100"/>
      <c r="F31" s="129"/>
      <c r="G31" s="148"/>
      <c r="H31" s="163" t="s">
        <v>57</v>
      </c>
      <c r="I31" s="140"/>
      <c r="J31" s="141"/>
      <c r="K31" s="141"/>
      <c r="L31" s="142">
        <v>20</v>
      </c>
      <c r="M31" s="154" t="s">
        <v>38</v>
      </c>
      <c r="N31" s="161"/>
      <c r="O31" s="151">
        <v>55</v>
      </c>
      <c r="P31" s="152">
        <v>1100</v>
      </c>
      <c r="Q31" s="153"/>
    </row>
    <row r="32" spans="1:20" ht="12" customHeight="1" x14ac:dyDescent="0.25">
      <c r="A32" s="127"/>
      <c r="B32" s="45"/>
      <c r="C32" s="128"/>
      <c r="D32" s="99"/>
      <c r="E32" s="100"/>
      <c r="F32" s="129"/>
      <c r="G32" s="148"/>
      <c r="H32" s="139" t="s">
        <v>58</v>
      </c>
      <c r="I32" s="140"/>
      <c r="J32" s="141"/>
      <c r="K32" s="141"/>
      <c r="L32" s="142">
        <v>12</v>
      </c>
      <c r="M32" s="154" t="s">
        <v>42</v>
      </c>
      <c r="N32" s="161"/>
      <c r="O32" s="151">
        <v>145</v>
      </c>
      <c r="P32" s="152">
        <v>1740</v>
      </c>
      <c r="Q32" s="153"/>
    </row>
    <row r="33" spans="1:22" ht="12" customHeight="1" x14ac:dyDescent="0.25">
      <c r="A33" s="127"/>
      <c r="B33" s="45"/>
      <c r="C33" s="128"/>
      <c r="D33" s="99"/>
      <c r="E33" s="100"/>
      <c r="F33" s="129"/>
      <c r="G33" s="148"/>
      <c r="H33" s="139" t="s">
        <v>59</v>
      </c>
      <c r="I33" s="140"/>
      <c r="J33" s="141"/>
      <c r="K33" s="141"/>
      <c r="L33" s="142">
        <v>4</v>
      </c>
      <c r="M33" s="154" t="s">
        <v>38</v>
      </c>
      <c r="N33" s="144"/>
      <c r="O33" s="151">
        <v>60</v>
      </c>
      <c r="P33" s="152">
        <v>240</v>
      </c>
      <c r="Q33" s="153"/>
    </row>
    <row r="34" spans="1:22" ht="12" customHeight="1" x14ac:dyDescent="0.25">
      <c r="A34" s="127"/>
      <c r="B34" s="45"/>
      <c r="C34" s="128"/>
      <c r="D34" s="99"/>
      <c r="E34" s="100"/>
      <c r="F34" s="129"/>
      <c r="G34" s="148"/>
      <c r="H34" s="139" t="s">
        <v>60</v>
      </c>
      <c r="I34" s="140"/>
      <c r="J34" s="164"/>
      <c r="K34" s="165"/>
      <c r="L34" s="166">
        <v>6</v>
      </c>
      <c r="M34" s="154" t="s">
        <v>38</v>
      </c>
      <c r="N34" s="144"/>
      <c r="O34" s="151">
        <v>60</v>
      </c>
      <c r="P34" s="152">
        <v>360</v>
      </c>
      <c r="Q34" s="153"/>
    </row>
    <row r="35" spans="1:22" ht="12" customHeight="1" x14ac:dyDescent="0.25">
      <c r="A35" s="127"/>
      <c r="B35" s="45"/>
      <c r="C35" s="128"/>
      <c r="D35" s="99"/>
      <c r="E35" s="100"/>
      <c r="F35" s="129"/>
      <c r="G35" s="148"/>
      <c r="H35" s="139" t="s">
        <v>61</v>
      </c>
      <c r="I35" s="140"/>
      <c r="J35" s="164"/>
      <c r="K35" s="165"/>
      <c r="L35" s="166">
        <v>6</v>
      </c>
      <c r="M35" s="154" t="s">
        <v>38</v>
      </c>
      <c r="N35" s="144"/>
      <c r="O35" s="151">
        <v>60</v>
      </c>
      <c r="P35" s="152">
        <v>360</v>
      </c>
      <c r="Q35" s="153"/>
    </row>
    <row r="36" spans="1:22" ht="12" customHeight="1" x14ac:dyDescent="0.25">
      <c r="A36" s="127"/>
      <c r="B36" s="45"/>
      <c r="C36" s="128"/>
      <c r="D36" s="99"/>
      <c r="E36" s="100"/>
      <c r="F36" s="129"/>
      <c r="G36" s="148"/>
      <c r="H36" s="139" t="s">
        <v>62</v>
      </c>
      <c r="I36" s="140"/>
      <c r="J36" s="164"/>
      <c r="K36" s="165"/>
      <c r="L36" s="166">
        <v>6</v>
      </c>
      <c r="M36" s="154" t="s">
        <v>38</v>
      </c>
      <c r="N36" s="144"/>
      <c r="O36" s="151">
        <v>60</v>
      </c>
      <c r="P36" s="152">
        <v>360</v>
      </c>
      <c r="Q36" s="153"/>
    </row>
    <row r="37" spans="1:22" ht="12" customHeight="1" x14ac:dyDescent="0.25">
      <c r="A37" s="127"/>
      <c r="B37" s="45"/>
      <c r="C37" s="128"/>
      <c r="D37" s="99"/>
      <c r="E37" s="100"/>
      <c r="F37" s="129"/>
      <c r="G37" s="148"/>
      <c r="H37" s="139" t="s">
        <v>63</v>
      </c>
      <c r="I37" s="140"/>
      <c r="J37" s="141"/>
      <c r="K37" s="141"/>
      <c r="L37" s="142">
        <v>12</v>
      </c>
      <c r="M37" s="154" t="s">
        <v>42</v>
      </c>
      <c r="N37" s="144"/>
      <c r="O37" s="151">
        <v>156</v>
      </c>
      <c r="P37" s="152">
        <v>1872</v>
      </c>
      <c r="Q37" s="153"/>
      <c r="V37" s="163"/>
    </row>
    <row r="38" spans="1:22" ht="12" customHeight="1" x14ac:dyDescent="0.25">
      <c r="A38" s="127"/>
      <c r="B38" s="45"/>
      <c r="C38" s="128"/>
      <c r="D38" s="99"/>
      <c r="E38" s="100"/>
      <c r="F38" s="129"/>
      <c r="G38" s="148"/>
      <c r="H38" s="139" t="s">
        <v>64</v>
      </c>
      <c r="I38" s="140"/>
      <c r="J38" s="164"/>
      <c r="K38" s="165"/>
      <c r="L38" s="166">
        <v>9</v>
      </c>
      <c r="M38" s="154" t="s">
        <v>38</v>
      </c>
      <c r="N38" s="144"/>
      <c r="O38" s="151">
        <v>61</v>
      </c>
      <c r="P38" s="152">
        <v>549</v>
      </c>
      <c r="Q38" s="153"/>
    </row>
    <row r="39" spans="1:22" ht="12" customHeight="1" x14ac:dyDescent="0.25">
      <c r="A39" s="127"/>
      <c r="B39" s="45"/>
      <c r="C39" s="128"/>
      <c r="D39" s="99"/>
      <c r="E39" s="100"/>
      <c r="F39" s="129"/>
      <c r="G39" s="148"/>
      <c r="H39" s="139" t="s">
        <v>65</v>
      </c>
      <c r="I39" s="140"/>
      <c r="J39" s="141"/>
      <c r="K39" s="141"/>
      <c r="L39" s="142">
        <v>9</v>
      </c>
      <c r="M39" s="154" t="s">
        <v>38</v>
      </c>
      <c r="N39" s="144"/>
      <c r="O39" s="151">
        <v>61</v>
      </c>
      <c r="P39" s="152">
        <v>549</v>
      </c>
      <c r="Q39" s="153"/>
    </row>
    <row r="40" spans="1:22" ht="12" customHeight="1" x14ac:dyDescent="0.25">
      <c r="A40" s="127"/>
      <c r="B40" s="45"/>
      <c r="C40" s="128"/>
      <c r="D40" s="99"/>
      <c r="E40" s="100"/>
      <c r="F40" s="129"/>
      <c r="G40" s="148"/>
      <c r="H40" s="139" t="s">
        <v>66</v>
      </c>
      <c r="I40" s="140"/>
      <c r="J40" s="141"/>
      <c r="K40" s="141"/>
      <c r="L40" s="142">
        <v>3</v>
      </c>
      <c r="M40" s="154" t="s">
        <v>38</v>
      </c>
      <c r="N40" s="144"/>
      <c r="O40" s="151">
        <v>61</v>
      </c>
      <c r="P40" s="152">
        <v>183</v>
      </c>
      <c r="Q40" s="153"/>
    </row>
    <row r="41" spans="1:22" ht="12" customHeight="1" x14ac:dyDescent="0.25">
      <c r="A41" s="127"/>
      <c r="B41" s="45"/>
      <c r="C41" s="128"/>
      <c r="D41" s="99"/>
      <c r="E41" s="100"/>
      <c r="F41" s="129"/>
      <c r="G41" s="148"/>
      <c r="H41" s="139" t="s">
        <v>67</v>
      </c>
      <c r="I41" s="167"/>
      <c r="J41" s="164"/>
      <c r="K41" s="168"/>
      <c r="L41" s="166">
        <v>9</v>
      </c>
      <c r="M41" s="154" t="s">
        <v>38</v>
      </c>
      <c r="N41" s="144"/>
      <c r="O41" s="151">
        <v>61</v>
      </c>
      <c r="P41" s="152">
        <v>549</v>
      </c>
      <c r="Q41" s="153"/>
    </row>
    <row r="42" spans="1:22" ht="12" customHeight="1" x14ac:dyDescent="0.25">
      <c r="A42" s="127"/>
      <c r="B42" s="45"/>
      <c r="C42" s="128"/>
      <c r="D42" s="99"/>
      <c r="E42" s="100"/>
      <c r="F42" s="129"/>
      <c r="G42" s="148" t="s">
        <v>68</v>
      </c>
      <c r="H42" s="139"/>
      <c r="I42" s="140"/>
      <c r="J42" s="164"/>
      <c r="K42" s="165"/>
      <c r="L42" s="166"/>
      <c r="M42" s="154"/>
      <c r="N42" s="144"/>
      <c r="O42" s="151"/>
      <c r="P42" s="152">
        <v>0</v>
      </c>
      <c r="Q42" s="153"/>
    </row>
    <row r="43" spans="1:22" ht="12" customHeight="1" x14ac:dyDescent="0.25">
      <c r="A43" s="127"/>
      <c r="B43" s="45"/>
      <c r="C43" s="128"/>
      <c r="D43" s="99"/>
      <c r="E43" s="100"/>
      <c r="F43" s="129"/>
      <c r="G43" s="148"/>
      <c r="H43" s="139" t="s">
        <v>69</v>
      </c>
      <c r="I43" s="140"/>
      <c r="J43" s="164"/>
      <c r="K43" s="165"/>
      <c r="L43" s="166">
        <v>252</v>
      </c>
      <c r="M43" s="154" t="s">
        <v>38</v>
      </c>
      <c r="N43" s="144"/>
      <c r="O43" s="151">
        <v>17</v>
      </c>
      <c r="P43" s="152">
        <v>4284</v>
      </c>
      <c r="Q43" s="153"/>
    </row>
    <row r="44" spans="1:22" ht="12" customHeight="1" x14ac:dyDescent="0.25">
      <c r="A44" s="127"/>
      <c r="B44" s="45"/>
      <c r="C44" s="128"/>
      <c r="D44" s="99"/>
      <c r="E44" s="100"/>
      <c r="F44" s="129"/>
      <c r="G44" s="148"/>
      <c r="H44" s="139" t="s">
        <v>70</v>
      </c>
      <c r="I44" s="140"/>
      <c r="J44" s="164"/>
      <c r="K44" s="165"/>
      <c r="L44" s="166">
        <v>400</v>
      </c>
      <c r="M44" s="154" t="s">
        <v>38</v>
      </c>
      <c r="N44" s="144"/>
      <c r="O44" s="151">
        <v>24.5</v>
      </c>
      <c r="P44" s="152">
        <v>9800</v>
      </c>
      <c r="Q44" s="153"/>
      <c r="V44" s="163"/>
    </row>
    <row r="45" spans="1:22" ht="12" customHeight="1" x14ac:dyDescent="0.25">
      <c r="A45" s="127"/>
      <c r="B45" s="45"/>
      <c r="C45" s="128"/>
      <c r="D45" s="99"/>
      <c r="E45" s="100"/>
      <c r="F45" s="129"/>
      <c r="G45" s="169" t="s">
        <v>71</v>
      </c>
      <c r="H45" s="170"/>
      <c r="I45" s="171"/>
      <c r="J45" s="172"/>
      <c r="K45" s="173"/>
      <c r="L45" s="174"/>
      <c r="M45" s="175"/>
      <c r="N45" s="176"/>
      <c r="O45" s="177"/>
      <c r="P45" s="178">
        <v>0</v>
      </c>
      <c r="Q45" s="179"/>
      <c r="V45" s="163"/>
    </row>
    <row r="46" spans="1:22" ht="12" customHeight="1" x14ac:dyDescent="0.25">
      <c r="A46" s="127"/>
      <c r="B46" s="45"/>
      <c r="C46" s="128"/>
      <c r="D46" s="99"/>
      <c r="E46" s="100"/>
      <c r="F46" s="129"/>
      <c r="G46" s="169"/>
      <c r="H46" s="170" t="s">
        <v>72</v>
      </c>
      <c r="I46" s="180"/>
      <c r="J46" s="181"/>
      <c r="K46" s="182"/>
      <c r="L46" s="174">
        <v>100</v>
      </c>
      <c r="M46" s="175" t="s">
        <v>38</v>
      </c>
      <c r="N46" s="176"/>
      <c r="O46" s="177">
        <v>85</v>
      </c>
      <c r="P46" s="178">
        <v>8500</v>
      </c>
      <c r="Q46" s="179"/>
    </row>
    <row r="47" spans="1:22" ht="12" customHeight="1" x14ac:dyDescent="0.25">
      <c r="A47" s="127"/>
      <c r="B47" s="45"/>
      <c r="C47" s="128"/>
      <c r="D47" s="99"/>
      <c r="E47" s="100"/>
      <c r="F47" s="129"/>
      <c r="G47" s="169"/>
      <c r="H47" s="170" t="s">
        <v>73</v>
      </c>
      <c r="I47" s="180"/>
      <c r="J47" s="181"/>
      <c r="K47" s="182"/>
      <c r="L47" s="174">
        <v>20</v>
      </c>
      <c r="M47" s="175" t="s">
        <v>38</v>
      </c>
      <c r="N47" s="176"/>
      <c r="O47" s="177">
        <v>125</v>
      </c>
      <c r="P47" s="178">
        <v>2500</v>
      </c>
      <c r="Q47" s="179"/>
    </row>
    <row r="48" spans="1:22" ht="12" customHeight="1" x14ac:dyDescent="0.25">
      <c r="A48" s="127"/>
      <c r="B48" s="45"/>
      <c r="C48" s="128"/>
      <c r="D48" s="99"/>
      <c r="E48" s="100"/>
      <c r="F48" s="129"/>
      <c r="G48" s="169" t="s">
        <v>74</v>
      </c>
      <c r="H48" s="170"/>
      <c r="I48" s="180"/>
      <c r="J48" s="181"/>
      <c r="K48" s="182"/>
      <c r="L48" s="183"/>
      <c r="M48" s="175"/>
      <c r="N48" s="184"/>
      <c r="O48" s="177"/>
      <c r="P48" s="178">
        <v>0</v>
      </c>
      <c r="Q48" s="179"/>
    </row>
    <row r="49" spans="1:19" ht="12" customHeight="1" x14ac:dyDescent="0.25">
      <c r="A49" s="127"/>
      <c r="B49" s="45"/>
      <c r="C49" s="128"/>
      <c r="D49" s="99"/>
      <c r="E49" s="100"/>
      <c r="F49" s="129"/>
      <c r="G49" s="169"/>
      <c r="H49" s="170" t="s">
        <v>75</v>
      </c>
      <c r="I49" s="180"/>
      <c r="J49" s="181"/>
      <c r="K49" s="185"/>
      <c r="L49" s="186">
        <v>140</v>
      </c>
      <c r="M49" s="187" t="s">
        <v>38</v>
      </c>
      <c r="N49" s="184"/>
      <c r="O49" s="177">
        <v>37.25</v>
      </c>
      <c r="P49" s="178">
        <v>5215</v>
      </c>
      <c r="Q49" s="179"/>
    </row>
    <row r="50" spans="1:19" ht="12" customHeight="1" x14ac:dyDescent="0.25">
      <c r="A50" s="127"/>
      <c r="B50" s="45"/>
      <c r="C50" s="128"/>
      <c r="D50" s="99"/>
      <c r="E50" s="100"/>
      <c r="F50" s="129"/>
      <c r="G50" s="169" t="s">
        <v>76</v>
      </c>
      <c r="H50" s="170"/>
      <c r="I50" s="180"/>
      <c r="J50" s="181"/>
      <c r="K50" s="185"/>
      <c r="L50" s="186"/>
      <c r="M50" s="187"/>
      <c r="N50" s="184"/>
      <c r="O50" s="177"/>
      <c r="P50" s="178">
        <v>0</v>
      </c>
      <c r="Q50" s="179"/>
    </row>
    <row r="51" spans="1:19" ht="12" customHeight="1" x14ac:dyDescent="0.25">
      <c r="A51" s="127"/>
      <c r="B51" s="45"/>
      <c r="C51" s="128"/>
      <c r="D51" s="99"/>
      <c r="E51" s="100"/>
      <c r="F51" s="129"/>
      <c r="G51" s="169"/>
      <c r="H51" s="170" t="s">
        <v>77</v>
      </c>
      <c r="I51" s="188"/>
      <c r="J51" s="181"/>
      <c r="K51" s="185"/>
      <c r="L51" s="186">
        <v>5120</v>
      </c>
      <c r="M51" s="189" t="s">
        <v>38</v>
      </c>
      <c r="N51" s="190"/>
      <c r="O51" s="177">
        <v>3.15</v>
      </c>
      <c r="P51" s="178">
        <v>16128</v>
      </c>
      <c r="Q51" s="179"/>
    </row>
    <row r="52" spans="1:19" ht="12" customHeight="1" x14ac:dyDescent="0.25">
      <c r="A52" s="127"/>
      <c r="B52" s="45"/>
      <c r="C52" s="128"/>
      <c r="D52" s="99"/>
      <c r="E52" s="100"/>
      <c r="F52" s="129"/>
      <c r="G52" s="148" t="s">
        <v>78</v>
      </c>
      <c r="H52" s="139"/>
      <c r="I52" s="140"/>
      <c r="J52" s="164"/>
      <c r="K52" s="165"/>
      <c r="L52" s="166"/>
      <c r="M52" s="154"/>
      <c r="N52" s="144"/>
      <c r="O52" s="151"/>
      <c r="P52" s="152">
        <v>0</v>
      </c>
      <c r="Q52" s="153"/>
    </row>
    <row r="53" spans="1:19" ht="12" customHeight="1" x14ac:dyDescent="0.25">
      <c r="A53" s="127"/>
      <c r="B53" s="45"/>
      <c r="C53" s="128"/>
      <c r="D53" s="99"/>
      <c r="E53" s="100"/>
      <c r="F53" s="129"/>
      <c r="G53" s="148"/>
      <c r="H53" s="139" t="s">
        <v>79</v>
      </c>
      <c r="I53" s="140"/>
      <c r="J53" s="164"/>
      <c r="K53" s="165"/>
      <c r="L53" s="166">
        <v>25</v>
      </c>
      <c r="M53" s="154" t="s">
        <v>38</v>
      </c>
      <c r="N53" s="144"/>
      <c r="O53" s="151">
        <v>2.5</v>
      </c>
      <c r="P53" s="152">
        <v>62.5</v>
      </c>
      <c r="Q53" s="153"/>
    </row>
    <row r="54" spans="1:19" ht="12" customHeight="1" x14ac:dyDescent="0.25">
      <c r="A54" s="127"/>
      <c r="B54" s="45"/>
      <c r="C54" s="128"/>
      <c r="D54" s="99"/>
      <c r="E54" s="100"/>
      <c r="F54" s="129"/>
      <c r="G54" s="148"/>
      <c r="H54" s="139" t="s">
        <v>80</v>
      </c>
      <c r="I54" s="140"/>
      <c r="J54" s="164"/>
      <c r="K54" s="168"/>
      <c r="L54" s="191">
        <v>15</v>
      </c>
      <c r="M54" s="192" t="s">
        <v>38</v>
      </c>
      <c r="N54" s="193"/>
      <c r="O54" s="151">
        <v>4.3</v>
      </c>
      <c r="P54" s="152">
        <v>64.5</v>
      </c>
      <c r="Q54" s="153"/>
    </row>
    <row r="55" spans="1:19" ht="12" customHeight="1" x14ac:dyDescent="0.25">
      <c r="A55" s="127"/>
      <c r="B55" s="45"/>
      <c r="C55" s="128"/>
      <c r="D55" s="99"/>
      <c r="E55" s="100"/>
      <c r="F55" s="129"/>
      <c r="G55" s="138"/>
      <c r="H55" s="139" t="s">
        <v>81</v>
      </c>
      <c r="I55" s="141"/>
      <c r="J55" s="164"/>
      <c r="K55" s="165"/>
      <c r="L55" s="191">
        <v>25</v>
      </c>
      <c r="M55" s="154" t="s">
        <v>38</v>
      </c>
      <c r="N55" s="194"/>
      <c r="O55" s="151">
        <v>1.2</v>
      </c>
      <c r="P55" s="152">
        <v>30</v>
      </c>
      <c r="Q55" s="153"/>
    </row>
    <row r="56" spans="1:19" ht="12" customHeight="1" x14ac:dyDescent="0.25">
      <c r="A56" s="127"/>
      <c r="B56" s="45"/>
      <c r="C56" s="128"/>
      <c r="D56" s="99"/>
      <c r="E56" s="100"/>
      <c r="F56" s="129"/>
      <c r="G56" s="138"/>
      <c r="H56" s="139" t="s">
        <v>82</v>
      </c>
      <c r="I56" s="141"/>
      <c r="J56" s="164"/>
      <c r="K56" s="168"/>
      <c r="L56" s="191">
        <v>30</v>
      </c>
      <c r="M56" s="195" t="s">
        <v>38</v>
      </c>
      <c r="N56" s="196"/>
      <c r="O56" s="151">
        <v>3</v>
      </c>
      <c r="P56" s="152">
        <v>90</v>
      </c>
      <c r="Q56" s="153"/>
    </row>
    <row r="57" spans="1:19" ht="12" customHeight="1" thickBot="1" x14ac:dyDescent="0.3">
      <c r="A57" s="127"/>
      <c r="B57" s="45"/>
      <c r="C57" s="128"/>
      <c r="D57" s="99"/>
      <c r="E57" s="100"/>
      <c r="F57" s="45"/>
      <c r="G57" s="197"/>
      <c r="H57" s="139" t="s">
        <v>83</v>
      </c>
      <c r="I57" s="141"/>
      <c r="J57" s="164"/>
      <c r="K57" s="168"/>
      <c r="L57" s="191">
        <v>60</v>
      </c>
      <c r="M57" s="195" t="s">
        <v>38</v>
      </c>
      <c r="N57" s="196"/>
      <c r="O57" s="151">
        <v>0.1</v>
      </c>
      <c r="P57" s="152">
        <v>6</v>
      </c>
      <c r="Q57" s="153"/>
    </row>
    <row r="58" spans="1:19" ht="46.5" customHeight="1" thickBot="1" x14ac:dyDescent="0.3">
      <c r="A58" s="198"/>
      <c r="B58" s="199"/>
      <c r="C58" s="200"/>
      <c r="D58" s="201"/>
      <c r="E58" s="202"/>
      <c r="F58" s="203"/>
      <c r="G58" s="204" t="s">
        <v>84</v>
      </c>
      <c r="H58" s="205"/>
      <c r="I58" s="205"/>
      <c r="J58" s="205"/>
      <c r="K58" s="205"/>
      <c r="L58" s="205"/>
      <c r="M58" s="205"/>
      <c r="N58" s="205"/>
      <c r="O58" s="205"/>
      <c r="P58" s="205"/>
      <c r="Q58" s="206"/>
    </row>
    <row r="59" spans="1:19" s="4" customFormat="1" ht="36.75" customHeight="1" thickBot="1" x14ac:dyDescent="0.25">
      <c r="A59" s="1" t="s">
        <v>0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3"/>
      <c r="S59" s="5"/>
    </row>
    <row r="60" spans="1:19" s="4" customFormat="1" ht="2.25" customHeight="1" x14ac:dyDescent="0.25">
      <c r="A60" s="207"/>
      <c r="B60" s="208"/>
      <c r="C60" s="209"/>
      <c r="D60" s="210"/>
      <c r="E60" s="211"/>
      <c r="F60" s="208"/>
      <c r="G60" s="208"/>
      <c r="H60" s="212"/>
      <c r="I60" s="213"/>
      <c r="J60" s="214"/>
      <c r="K60" s="208"/>
      <c r="L60" s="215"/>
      <c r="M60" s="208"/>
      <c r="N60" s="208"/>
      <c r="O60" s="208"/>
      <c r="P60" s="208"/>
      <c r="Q60" s="216"/>
      <c r="S60" s="5"/>
    </row>
    <row r="61" spans="1:19" s="4" customFormat="1" ht="12" customHeight="1" x14ac:dyDescent="0.2">
      <c r="A61" s="127" t="s">
        <v>3</v>
      </c>
      <c r="B61" s="45"/>
      <c r="C61" s="45"/>
      <c r="D61" s="45"/>
      <c r="E61" s="45"/>
      <c r="F61" s="45"/>
      <c r="G61" s="45"/>
      <c r="H61" s="45"/>
      <c r="I61" s="129"/>
      <c r="J61" s="18" t="s">
        <v>4</v>
      </c>
      <c r="K61" s="19"/>
      <c r="L61" s="19"/>
      <c r="M61" s="19"/>
      <c r="N61" s="19"/>
      <c r="O61" s="19"/>
      <c r="P61" s="19"/>
      <c r="Q61" s="20"/>
      <c r="S61" s="5"/>
    </row>
    <row r="62" spans="1:19" s="32" customFormat="1" x14ac:dyDescent="0.25">
      <c r="A62" s="21"/>
      <c r="B62" s="22" t="s">
        <v>5</v>
      </c>
      <c r="C62" s="23"/>
      <c r="D62" s="24"/>
      <c r="E62" s="25"/>
      <c r="F62" s="26"/>
      <c r="G62" s="26"/>
      <c r="H62" s="26"/>
      <c r="I62" s="27" t="s">
        <v>6</v>
      </c>
      <c r="J62" s="28" t="s">
        <v>7</v>
      </c>
      <c r="K62" s="29"/>
      <c r="L62" s="29"/>
      <c r="M62" s="30"/>
      <c r="N62" s="30"/>
      <c r="O62" s="30"/>
      <c r="P62" s="30"/>
      <c r="Q62" s="31"/>
      <c r="S62" s="33"/>
    </row>
    <row r="63" spans="1:19" x14ac:dyDescent="0.25">
      <c r="A63" s="21"/>
      <c r="B63" s="34" t="s">
        <v>8</v>
      </c>
      <c r="C63" s="34"/>
      <c r="D63" s="34"/>
      <c r="E63" s="34"/>
      <c r="F63" s="34"/>
      <c r="G63" s="34"/>
      <c r="H63" s="34"/>
      <c r="I63" s="35"/>
      <c r="J63" s="36"/>
      <c r="K63" s="37"/>
      <c r="L63" s="38"/>
      <c r="M63" s="39"/>
      <c r="N63" s="37"/>
      <c r="O63" s="37"/>
      <c r="P63" s="40" t="s">
        <v>85</v>
      </c>
      <c r="Q63" s="41"/>
    </row>
    <row r="64" spans="1:19" x14ac:dyDescent="0.25">
      <c r="A64" s="21"/>
      <c r="B64" s="91" t="s">
        <v>10</v>
      </c>
      <c r="C64" s="91"/>
      <c r="D64" s="91"/>
      <c r="E64" s="91"/>
      <c r="F64" s="91"/>
      <c r="G64" s="91"/>
      <c r="H64" s="91"/>
      <c r="I64" s="92"/>
      <c r="J64" s="45" t="s">
        <v>11</v>
      </c>
      <c r="K64" s="46"/>
      <c r="L64" s="47"/>
      <c r="M64" s="48"/>
      <c r="N64" s="48"/>
      <c r="O64" s="48"/>
      <c r="P64" s="32"/>
      <c r="Q64" s="49"/>
    </row>
    <row r="65" spans="1:23" ht="14.25" customHeight="1" x14ac:dyDescent="0.25">
      <c r="A65" s="217" t="s">
        <v>12</v>
      </c>
      <c r="B65" s="218"/>
      <c r="C65" s="218"/>
      <c r="D65" s="218"/>
      <c r="E65" s="218"/>
      <c r="F65" s="218"/>
      <c r="G65" s="218"/>
      <c r="H65" s="218"/>
      <c r="I65" s="219"/>
      <c r="J65" s="53" t="s">
        <v>13</v>
      </c>
      <c r="K65" s="54"/>
      <c r="L65" s="54"/>
      <c r="M65" s="54"/>
      <c r="N65" s="54"/>
      <c r="O65" s="54"/>
      <c r="P65" s="54"/>
      <c r="Q65" s="55"/>
    </row>
    <row r="66" spans="1:23" x14ac:dyDescent="0.25">
      <c r="A66" s="21"/>
      <c r="B66" s="57" t="s">
        <v>14</v>
      </c>
      <c r="C66" s="58"/>
      <c r="D66" s="59"/>
      <c r="E66" s="60"/>
      <c r="F66" s="57"/>
      <c r="G66" s="57"/>
      <c r="H66" s="56"/>
      <c r="I66" s="61"/>
      <c r="J66" s="62"/>
      <c r="K66" s="37"/>
      <c r="L66" s="63"/>
      <c r="M66" s="64"/>
      <c r="N66" s="65"/>
      <c r="O66" s="39"/>
      <c r="P66" s="39"/>
      <c r="Q66" s="66"/>
    </row>
    <row r="67" spans="1:23" x14ac:dyDescent="0.25">
      <c r="A67" s="21"/>
      <c r="B67" s="86" t="s">
        <v>15</v>
      </c>
      <c r="C67" s="86"/>
      <c r="D67" s="86"/>
      <c r="E67" s="86"/>
      <c r="F67" s="86"/>
      <c r="G67" s="86"/>
      <c r="H67" s="86"/>
      <c r="I67" s="87"/>
      <c r="J67" s="45" t="s">
        <v>16</v>
      </c>
      <c r="K67" s="69"/>
      <c r="L67" s="70"/>
      <c r="M67" s="32"/>
      <c r="N67" s="32"/>
      <c r="O67" s="32"/>
      <c r="P67" s="32"/>
      <c r="Q67" s="49"/>
    </row>
    <row r="68" spans="1:23" x14ac:dyDescent="0.25">
      <c r="A68" s="72"/>
      <c r="B68" s="73" t="s">
        <v>17</v>
      </c>
      <c r="C68" s="74"/>
      <c r="D68" s="75"/>
      <c r="E68" s="76"/>
      <c r="F68" s="73"/>
      <c r="G68" s="73"/>
      <c r="H68" s="77"/>
      <c r="I68" s="78"/>
      <c r="J68" s="79" t="s">
        <v>18</v>
      </c>
      <c r="K68" s="80"/>
      <c r="L68" s="80"/>
      <c r="M68" s="80"/>
      <c r="N68" s="80"/>
      <c r="O68" s="80"/>
      <c r="P68" s="80"/>
      <c r="Q68" s="81"/>
    </row>
    <row r="69" spans="1:23" ht="14.25" customHeight="1" x14ac:dyDescent="0.25">
      <c r="A69" s="217" t="s">
        <v>19</v>
      </c>
      <c r="B69" s="218"/>
      <c r="C69" s="218"/>
      <c r="D69" s="218"/>
      <c r="E69" s="218"/>
      <c r="F69" s="218"/>
      <c r="G69" s="218"/>
      <c r="H69" s="218"/>
      <c r="I69" s="219"/>
      <c r="J69" s="32"/>
      <c r="K69" s="32"/>
      <c r="L69" s="82"/>
      <c r="M69" s="26"/>
      <c r="N69" s="26"/>
      <c r="O69" s="32"/>
      <c r="P69" s="32"/>
      <c r="Q69" s="49"/>
    </row>
    <row r="70" spans="1:23" x14ac:dyDescent="0.25">
      <c r="A70" s="21"/>
      <c r="B70" s="57" t="s">
        <v>14</v>
      </c>
      <c r="C70" s="83"/>
      <c r="D70" s="84"/>
      <c r="E70" s="85"/>
      <c r="F70" s="86"/>
      <c r="G70" s="86"/>
      <c r="H70" s="26"/>
      <c r="I70" s="87"/>
      <c r="J70" s="36"/>
      <c r="K70" s="88"/>
      <c r="L70" s="63"/>
      <c r="M70" s="88"/>
      <c r="N70" s="88"/>
      <c r="O70" s="73"/>
      <c r="P70" s="73"/>
      <c r="Q70" s="89"/>
    </row>
    <row r="71" spans="1:23" ht="14.25" customHeight="1" x14ac:dyDescent="0.25">
      <c r="A71" s="72"/>
      <c r="B71" s="73" t="s">
        <v>20</v>
      </c>
      <c r="C71" s="90"/>
      <c r="D71" s="75"/>
      <c r="E71" s="76"/>
      <c r="F71" s="91"/>
      <c r="G71" s="91"/>
      <c r="H71" s="39"/>
      <c r="I71" s="92"/>
      <c r="J71" s="19" t="s">
        <v>21</v>
      </c>
      <c r="K71" s="19"/>
      <c r="L71" s="19"/>
      <c r="M71" s="19"/>
      <c r="N71" s="19"/>
      <c r="O71" s="71"/>
      <c r="P71" s="71"/>
      <c r="Q71" s="95"/>
    </row>
    <row r="72" spans="1:23" x14ac:dyDescent="0.25">
      <c r="A72" s="96" t="s">
        <v>22</v>
      </c>
      <c r="B72" s="97"/>
      <c r="C72" s="98"/>
      <c r="D72" s="99"/>
      <c r="E72" s="100"/>
      <c r="F72" s="101"/>
      <c r="G72" s="102" t="s">
        <v>23</v>
      </c>
      <c r="H72" s="26"/>
      <c r="I72" s="87"/>
      <c r="J72" s="103"/>
      <c r="K72" s="32"/>
      <c r="L72" s="82"/>
      <c r="M72" s="32"/>
      <c r="N72" s="32"/>
      <c r="O72" s="71"/>
      <c r="P72" s="71"/>
      <c r="Q72" s="220"/>
    </row>
    <row r="73" spans="1:23" x14ac:dyDescent="0.25">
      <c r="A73" s="104"/>
      <c r="B73" s="67" t="s">
        <v>24</v>
      </c>
      <c r="C73" s="67"/>
      <c r="D73" s="67"/>
      <c r="E73" s="67"/>
      <c r="F73" s="67"/>
      <c r="G73" s="221" t="s">
        <v>25</v>
      </c>
      <c r="H73" s="222"/>
      <c r="I73" s="223"/>
      <c r="J73" s="224"/>
      <c r="K73" s="32"/>
      <c r="L73" s="82"/>
      <c r="M73" s="32"/>
      <c r="N73" s="32"/>
      <c r="O73" s="71"/>
      <c r="P73" s="71"/>
      <c r="Q73" s="220"/>
    </row>
    <row r="74" spans="1:23" x14ac:dyDescent="0.25">
      <c r="A74" s="109" t="s">
        <v>26</v>
      </c>
      <c r="B74" s="110"/>
      <c r="C74" s="111"/>
      <c r="D74" s="111"/>
      <c r="E74" s="111"/>
      <c r="F74" s="112"/>
      <c r="G74" s="45" t="s">
        <v>27</v>
      </c>
      <c r="H74" s="26"/>
      <c r="I74" s="87"/>
      <c r="J74" s="103"/>
      <c r="K74" s="71"/>
      <c r="L74" s="114"/>
      <c r="M74" s="71"/>
      <c r="N74" s="71"/>
      <c r="O74" s="71"/>
      <c r="P74" s="71"/>
      <c r="Q74" s="220"/>
    </row>
    <row r="75" spans="1:23" x14ac:dyDescent="0.25">
      <c r="A75" s="115"/>
      <c r="B75" s="116" t="s">
        <v>28</v>
      </c>
      <c r="C75" s="225"/>
      <c r="D75" s="225"/>
      <c r="E75" s="225"/>
      <c r="F75" s="226"/>
      <c r="G75" s="118" t="s">
        <v>29</v>
      </c>
      <c r="H75" s="39"/>
      <c r="I75" s="92"/>
      <c r="J75" s="103"/>
      <c r="K75" s="22"/>
      <c r="L75" s="119"/>
      <c r="M75" s="227"/>
      <c r="N75" s="227"/>
      <c r="O75" s="71"/>
      <c r="P75" s="71"/>
      <c r="Q75" s="220"/>
    </row>
    <row r="76" spans="1:23" ht="14.25" customHeight="1" x14ac:dyDescent="0.25">
      <c r="A76" s="121" t="s">
        <v>30</v>
      </c>
      <c r="B76" s="122"/>
      <c r="C76" s="122"/>
      <c r="D76" s="122"/>
      <c r="E76" s="122"/>
      <c r="F76" s="123"/>
      <c r="G76" s="228" t="s">
        <v>31</v>
      </c>
      <c r="H76" s="229"/>
      <c r="I76" s="230"/>
      <c r="J76" s="124" t="s">
        <v>32</v>
      </c>
      <c r="K76" s="122"/>
      <c r="L76" s="123"/>
      <c r="M76" s="125" t="s">
        <v>33</v>
      </c>
      <c r="N76" s="124" t="s">
        <v>34</v>
      </c>
      <c r="O76" s="123"/>
      <c r="P76" s="124" t="s">
        <v>35</v>
      </c>
      <c r="Q76" s="126"/>
    </row>
    <row r="77" spans="1:23" ht="3" customHeight="1" x14ac:dyDescent="0.25">
      <c r="A77" s="127"/>
      <c r="B77" s="45"/>
      <c r="C77" s="128"/>
      <c r="D77" s="99"/>
      <c r="E77" s="100"/>
      <c r="F77" s="129"/>
      <c r="G77" s="26"/>
      <c r="H77" s="26"/>
      <c r="I77" s="130"/>
      <c r="J77" s="131"/>
      <c r="K77" s="45"/>
      <c r="L77" s="132"/>
      <c r="M77" s="133"/>
      <c r="N77" s="134"/>
      <c r="O77" s="135"/>
      <c r="P77" s="131"/>
      <c r="Q77" s="231"/>
    </row>
    <row r="78" spans="1:23" ht="12" customHeight="1" x14ac:dyDescent="0.25">
      <c r="A78" s="127"/>
      <c r="B78" s="45"/>
      <c r="C78" s="128"/>
      <c r="D78" s="99"/>
      <c r="E78" s="100"/>
      <c r="F78" s="129"/>
      <c r="G78" s="138" t="s">
        <v>86</v>
      </c>
      <c r="H78" s="139"/>
      <c r="I78" s="140"/>
      <c r="J78" s="164"/>
      <c r="K78" s="168"/>
      <c r="L78" s="191"/>
      <c r="M78" s="195"/>
      <c r="N78" s="193"/>
      <c r="O78" s="151"/>
      <c r="P78" s="232"/>
      <c r="Q78" s="233"/>
    </row>
    <row r="79" spans="1:23" ht="12" customHeight="1" x14ac:dyDescent="0.25">
      <c r="A79" s="127"/>
      <c r="B79" s="45"/>
      <c r="C79" s="128"/>
      <c r="D79" s="99"/>
      <c r="E79" s="100"/>
      <c r="F79" s="234"/>
      <c r="G79" s="148"/>
      <c r="H79" s="139" t="s">
        <v>87</v>
      </c>
      <c r="I79" s="141"/>
      <c r="J79" s="164"/>
      <c r="K79" s="165"/>
      <c r="L79" s="191">
        <v>25</v>
      </c>
      <c r="M79" s="154" t="s">
        <v>38</v>
      </c>
      <c r="N79" s="194"/>
      <c r="O79" s="151">
        <v>10</v>
      </c>
      <c r="P79" s="152">
        <v>250</v>
      </c>
      <c r="Q79" s="235"/>
    </row>
    <row r="80" spans="1:23" ht="12" customHeight="1" x14ac:dyDescent="0.25">
      <c r="A80" s="127"/>
      <c r="B80" s="45"/>
      <c r="C80" s="128"/>
      <c r="D80" s="99"/>
      <c r="E80" s="100"/>
      <c r="F80" s="234"/>
      <c r="G80" s="236"/>
      <c r="H80" s="139" t="s">
        <v>88</v>
      </c>
      <c r="I80" s="140"/>
      <c r="J80" s="164"/>
      <c r="K80" s="165"/>
      <c r="L80" s="166">
        <v>20</v>
      </c>
      <c r="M80" s="154" t="s">
        <v>38</v>
      </c>
      <c r="N80" s="144"/>
      <c r="O80" s="151">
        <v>18</v>
      </c>
      <c r="P80" s="152">
        <v>360</v>
      </c>
      <c r="Q80" s="235"/>
      <c r="W80" s="237"/>
    </row>
    <row r="81" spans="1:21" ht="12" customHeight="1" x14ac:dyDescent="0.25">
      <c r="A81" s="127"/>
      <c r="B81" s="45"/>
      <c r="C81" s="128"/>
      <c r="D81" s="99"/>
      <c r="E81" s="100"/>
      <c r="F81" s="234"/>
      <c r="G81" s="236"/>
      <c r="H81" s="238" t="s">
        <v>89</v>
      </c>
      <c r="I81" s="4"/>
      <c r="J81" s="239"/>
      <c r="K81" s="240"/>
      <c r="L81" s="241">
        <v>30</v>
      </c>
      <c r="M81" s="242" t="s">
        <v>38</v>
      </c>
      <c r="N81" s="243"/>
      <c r="O81" s="244">
        <v>0.3</v>
      </c>
      <c r="P81" s="245">
        <v>9</v>
      </c>
      <c r="Q81" s="246"/>
    </row>
    <row r="82" spans="1:21" ht="12" customHeight="1" x14ac:dyDescent="0.25">
      <c r="A82" s="127"/>
      <c r="B82" s="45"/>
      <c r="C82" s="128"/>
      <c r="D82" s="99"/>
      <c r="E82" s="100"/>
      <c r="F82" s="247"/>
      <c r="G82" s="248"/>
      <c r="H82" s="238" t="s">
        <v>90</v>
      </c>
      <c r="I82" s="4"/>
      <c r="J82" s="239"/>
      <c r="K82" s="240"/>
      <c r="L82" s="241">
        <v>50</v>
      </c>
      <c r="M82" s="242" t="s">
        <v>38</v>
      </c>
      <c r="N82" s="243"/>
      <c r="O82" s="244">
        <v>1</v>
      </c>
      <c r="P82" s="245">
        <v>50</v>
      </c>
      <c r="Q82" s="246"/>
    </row>
    <row r="83" spans="1:21" ht="12" customHeight="1" x14ac:dyDescent="0.25">
      <c r="A83" s="127"/>
      <c r="B83" s="56" t="s">
        <v>44</v>
      </c>
      <c r="C83" s="156"/>
      <c r="D83" s="157"/>
      <c r="E83" s="100"/>
      <c r="F83" s="247"/>
      <c r="G83" s="248"/>
      <c r="H83" s="238" t="s">
        <v>91</v>
      </c>
      <c r="I83" s="4"/>
      <c r="J83" s="239"/>
      <c r="K83" s="249"/>
      <c r="L83" s="241">
        <v>50</v>
      </c>
      <c r="M83" s="250" t="s">
        <v>38</v>
      </c>
      <c r="N83" s="251"/>
      <c r="O83" s="244">
        <v>0.15</v>
      </c>
      <c r="P83" s="245">
        <v>7.5</v>
      </c>
      <c r="Q83" s="246"/>
    </row>
    <row r="84" spans="1:21" ht="12" customHeight="1" x14ac:dyDescent="0.25">
      <c r="A84" s="127"/>
      <c r="B84" s="56" t="s">
        <v>46</v>
      </c>
      <c r="C84" s="156"/>
      <c r="D84" s="157"/>
      <c r="E84" s="100"/>
      <c r="F84" s="247"/>
      <c r="G84" s="169"/>
      <c r="H84" s="238" t="s">
        <v>92</v>
      </c>
      <c r="I84" s="4"/>
      <c r="J84" s="239"/>
      <c r="K84" s="240"/>
      <c r="L84" s="241">
        <v>50</v>
      </c>
      <c r="M84" s="242" t="s">
        <v>38</v>
      </c>
      <c r="N84" s="243"/>
      <c r="O84" s="244">
        <v>2.5</v>
      </c>
      <c r="P84" s="245">
        <v>125</v>
      </c>
      <c r="Q84" s="246"/>
    </row>
    <row r="85" spans="1:21" ht="12" customHeight="1" x14ac:dyDescent="0.25">
      <c r="A85" s="127"/>
      <c r="B85" s="45" t="s">
        <v>48</v>
      </c>
      <c r="C85" s="158"/>
      <c r="D85" s="157"/>
      <c r="E85" s="100"/>
      <c r="F85" s="247"/>
      <c r="G85" s="169"/>
      <c r="H85" s="238" t="s">
        <v>93</v>
      </c>
      <c r="I85" s="252"/>
      <c r="J85" s="239"/>
      <c r="K85" s="249"/>
      <c r="L85" s="253">
        <v>100</v>
      </c>
      <c r="M85" s="250" t="s">
        <v>38</v>
      </c>
      <c r="N85" s="254"/>
      <c r="O85" s="244">
        <v>0.5</v>
      </c>
      <c r="P85" s="245">
        <v>50</v>
      </c>
      <c r="Q85" s="246"/>
    </row>
    <row r="86" spans="1:21" ht="12" customHeight="1" x14ac:dyDescent="0.25">
      <c r="A86" s="127"/>
      <c r="B86" s="56" t="s">
        <v>50</v>
      </c>
      <c r="C86" s="159" t="s">
        <v>51</v>
      </c>
      <c r="D86" s="255"/>
      <c r="E86" s="100"/>
      <c r="F86" s="247"/>
      <c r="G86" s="169"/>
      <c r="H86" s="238" t="s">
        <v>94</v>
      </c>
      <c r="I86" s="252"/>
      <c r="J86" s="239"/>
      <c r="K86" s="249"/>
      <c r="L86" s="253">
        <v>5</v>
      </c>
      <c r="M86" s="250" t="s">
        <v>38</v>
      </c>
      <c r="N86" s="254"/>
      <c r="O86" s="244">
        <v>2.5</v>
      </c>
      <c r="P86" s="245">
        <v>12.5</v>
      </c>
      <c r="Q86" s="246"/>
    </row>
    <row r="87" spans="1:21" ht="12" customHeight="1" x14ac:dyDescent="0.25">
      <c r="A87" s="127"/>
      <c r="B87" s="45" t="s">
        <v>53</v>
      </c>
      <c r="C87" s="162" t="s">
        <v>54</v>
      </c>
      <c r="D87" s="157"/>
      <c r="E87" s="100"/>
      <c r="F87" s="247"/>
      <c r="G87" s="169"/>
      <c r="H87" s="238" t="s">
        <v>95</v>
      </c>
      <c r="I87" s="252"/>
      <c r="J87" s="239"/>
      <c r="K87" s="249"/>
      <c r="L87" s="253">
        <v>150</v>
      </c>
      <c r="M87" s="250" t="s">
        <v>38</v>
      </c>
      <c r="N87" s="254"/>
      <c r="O87" s="244">
        <v>2.5</v>
      </c>
      <c r="P87" s="245">
        <v>375</v>
      </c>
      <c r="Q87" s="246"/>
    </row>
    <row r="88" spans="1:21" ht="12" customHeight="1" thickBot="1" x14ac:dyDescent="0.3">
      <c r="A88" s="127"/>
      <c r="B88" s="256" t="s">
        <v>56</v>
      </c>
      <c r="D88" s="99"/>
      <c r="E88" s="100"/>
      <c r="F88" s="247"/>
      <c r="G88" s="169"/>
      <c r="H88" s="238" t="s">
        <v>96</v>
      </c>
      <c r="I88" s="4"/>
      <c r="J88" s="239"/>
      <c r="K88" s="249"/>
      <c r="L88" s="241">
        <v>200</v>
      </c>
      <c r="M88" s="250" t="s">
        <v>38</v>
      </c>
      <c r="N88" s="258"/>
      <c r="O88" s="244">
        <v>2.5</v>
      </c>
      <c r="P88" s="245">
        <v>500</v>
      </c>
      <c r="Q88" s="246"/>
    </row>
    <row r="89" spans="1:21" ht="12" customHeight="1" thickTop="1" x14ac:dyDescent="0.25">
      <c r="A89" s="127"/>
      <c r="B89" s="45"/>
      <c r="C89" s="128"/>
      <c r="D89" s="99"/>
      <c r="E89" s="100"/>
      <c r="F89" s="247"/>
      <c r="G89" s="248"/>
      <c r="H89" s="259"/>
      <c r="I89" s="260"/>
      <c r="J89" s="261"/>
      <c r="K89" s="262"/>
      <c r="L89" s="263"/>
      <c r="M89" s="264"/>
      <c r="N89" s="265"/>
      <c r="O89" s="266" t="s">
        <v>97</v>
      </c>
      <c r="P89" s="267">
        <f>SUM(P1:P88)</f>
        <v>106770.2</v>
      </c>
      <c r="Q89" s="268"/>
    </row>
    <row r="90" spans="1:21" ht="12" customHeight="1" x14ac:dyDescent="0.25">
      <c r="A90" s="127"/>
      <c r="B90" s="45"/>
      <c r="C90" s="128"/>
      <c r="D90" s="99"/>
      <c r="E90" s="100"/>
      <c r="F90" s="234"/>
      <c r="G90" s="138"/>
      <c r="H90" s="139"/>
      <c r="I90" s="141"/>
      <c r="J90" s="164"/>
      <c r="K90" s="165"/>
      <c r="L90" s="269"/>
      <c r="M90" s="154"/>
      <c r="N90" s="150"/>
      <c r="O90" s="270" t="s">
        <v>98</v>
      </c>
      <c r="P90" s="271">
        <v>180</v>
      </c>
      <c r="Q90" s="235"/>
    </row>
    <row r="91" spans="1:21" ht="12" customHeight="1" x14ac:dyDescent="0.25">
      <c r="A91" s="127"/>
      <c r="B91" s="45"/>
      <c r="C91" s="128"/>
      <c r="D91" s="99"/>
      <c r="E91" s="100"/>
      <c r="F91" s="234"/>
      <c r="G91" s="148"/>
      <c r="H91" s="139"/>
      <c r="I91" s="141"/>
      <c r="J91" s="164"/>
      <c r="K91" s="165"/>
      <c r="L91" s="269"/>
      <c r="M91" s="154"/>
      <c r="N91" s="150"/>
      <c r="O91" s="151"/>
      <c r="P91" s="152"/>
      <c r="Q91" s="235"/>
    </row>
    <row r="92" spans="1:21" ht="12" customHeight="1" x14ac:dyDescent="0.25">
      <c r="A92" s="127"/>
      <c r="B92" s="45"/>
      <c r="C92" s="128"/>
      <c r="D92" s="99"/>
      <c r="E92" s="100"/>
      <c r="F92" s="234"/>
      <c r="G92" s="148"/>
      <c r="H92" s="139"/>
      <c r="I92" s="141"/>
      <c r="J92" s="164"/>
      <c r="K92" s="165"/>
      <c r="L92" s="269"/>
      <c r="M92" s="154"/>
      <c r="N92" s="150"/>
      <c r="O92" s="151"/>
      <c r="P92" s="152"/>
      <c r="Q92" s="235"/>
    </row>
    <row r="93" spans="1:21" ht="12" customHeight="1" x14ac:dyDescent="0.25">
      <c r="A93" s="127"/>
      <c r="B93" s="45"/>
      <c r="C93" s="128"/>
      <c r="D93" s="99"/>
      <c r="E93" s="100"/>
      <c r="F93" s="234"/>
      <c r="G93" s="148"/>
      <c r="H93" s="139"/>
      <c r="I93" s="140"/>
      <c r="J93" s="164"/>
      <c r="K93" s="165"/>
      <c r="L93" s="269"/>
      <c r="M93" s="154"/>
      <c r="N93" s="150"/>
      <c r="O93" s="151"/>
      <c r="P93" s="152"/>
      <c r="Q93" s="235"/>
    </row>
    <row r="94" spans="1:21" ht="12" customHeight="1" x14ac:dyDescent="0.25">
      <c r="A94" s="127"/>
      <c r="B94" s="45"/>
      <c r="C94" s="128"/>
      <c r="D94" s="99"/>
      <c r="E94" s="100"/>
      <c r="F94" s="234"/>
      <c r="G94" s="148"/>
      <c r="H94" s="139"/>
      <c r="I94" s="140"/>
      <c r="J94" s="164"/>
      <c r="K94" s="168"/>
      <c r="L94" s="272"/>
      <c r="M94" s="154"/>
      <c r="N94" s="141"/>
      <c r="O94" s="151"/>
      <c r="P94" s="152"/>
      <c r="Q94" s="235"/>
    </row>
    <row r="95" spans="1:21" ht="12" customHeight="1" x14ac:dyDescent="0.25">
      <c r="A95" s="127"/>
      <c r="B95" s="45"/>
      <c r="C95" s="128"/>
      <c r="D95" s="99"/>
      <c r="E95" s="100"/>
      <c r="F95" s="234"/>
      <c r="G95" s="148"/>
      <c r="H95" s="139"/>
      <c r="I95" s="140"/>
      <c r="J95" s="164"/>
      <c r="K95" s="168"/>
      <c r="L95" s="272"/>
      <c r="M95" s="154"/>
      <c r="N95" s="141"/>
      <c r="O95" s="151"/>
      <c r="P95" s="152"/>
      <c r="Q95" s="235"/>
      <c r="U95" s="163"/>
    </row>
    <row r="96" spans="1:21" ht="12" customHeight="1" x14ac:dyDescent="0.25">
      <c r="A96" s="127"/>
      <c r="B96" s="45"/>
      <c r="C96" s="128"/>
      <c r="D96" s="99"/>
      <c r="E96" s="100"/>
      <c r="F96" s="234"/>
      <c r="G96" s="236"/>
      <c r="H96" s="139"/>
      <c r="I96" s="140"/>
      <c r="J96" s="164"/>
      <c r="K96" s="168"/>
      <c r="L96" s="191"/>
      <c r="M96" s="195"/>
      <c r="N96" s="196"/>
      <c r="O96" s="151"/>
      <c r="P96" s="152"/>
      <c r="Q96" s="235"/>
    </row>
    <row r="97" spans="1:23" ht="12" customHeight="1" x14ac:dyDescent="0.25">
      <c r="A97" s="127"/>
      <c r="B97" s="45"/>
      <c r="C97" s="128"/>
      <c r="D97" s="99"/>
      <c r="E97" s="100"/>
      <c r="F97" s="234"/>
      <c r="G97" s="148"/>
      <c r="H97" s="139"/>
      <c r="I97" s="140"/>
      <c r="J97" s="164"/>
      <c r="K97" s="168"/>
      <c r="L97" s="272"/>
      <c r="M97" s="154"/>
      <c r="N97" s="141"/>
      <c r="O97" s="151"/>
      <c r="P97" s="152"/>
      <c r="Q97" s="235"/>
      <c r="U97" s="273"/>
      <c r="V97" s="273"/>
    </row>
    <row r="98" spans="1:23" ht="12" customHeight="1" x14ac:dyDescent="0.25">
      <c r="A98" s="127"/>
      <c r="B98" s="45"/>
      <c r="C98" s="128"/>
      <c r="D98" s="99"/>
      <c r="E98" s="100"/>
      <c r="F98" s="234"/>
      <c r="G98" s="236"/>
      <c r="H98" s="139"/>
      <c r="I98" s="140"/>
      <c r="J98" s="164"/>
      <c r="K98" s="168"/>
      <c r="L98" s="191"/>
      <c r="M98" s="195"/>
      <c r="N98" s="196"/>
      <c r="O98" s="151"/>
      <c r="P98" s="152"/>
      <c r="Q98" s="235"/>
      <c r="U98" s="273"/>
      <c r="V98" s="273"/>
    </row>
    <row r="99" spans="1:23" ht="12" customHeight="1" x14ac:dyDescent="0.25">
      <c r="A99" s="127"/>
      <c r="B99" s="45"/>
      <c r="C99" s="128"/>
      <c r="D99" s="99"/>
      <c r="E99" s="100"/>
      <c r="F99" s="234"/>
      <c r="G99" s="148"/>
      <c r="H99" s="139"/>
      <c r="I99" s="141"/>
      <c r="J99" s="164"/>
      <c r="K99" s="168"/>
      <c r="L99" s="191"/>
      <c r="M99" s="195"/>
      <c r="N99" s="196"/>
      <c r="O99" s="151"/>
      <c r="P99" s="152"/>
      <c r="Q99" s="235"/>
      <c r="U99" s="4"/>
      <c r="V99" s="42"/>
    </row>
    <row r="100" spans="1:23" ht="12" customHeight="1" x14ac:dyDescent="0.25">
      <c r="A100" s="127"/>
      <c r="B100" s="274" t="s">
        <v>99</v>
      </c>
      <c r="C100" s="274"/>
      <c r="D100" s="274"/>
      <c r="E100" s="274"/>
      <c r="F100" s="275" t="s">
        <v>100</v>
      </c>
      <c r="G100" s="148"/>
      <c r="H100" s="139"/>
      <c r="I100" s="141"/>
      <c r="J100" s="164"/>
      <c r="K100" s="165"/>
      <c r="L100" s="191"/>
      <c r="M100" s="154"/>
      <c r="N100" s="276"/>
      <c r="O100" s="151"/>
      <c r="P100" s="152"/>
      <c r="Q100" s="235"/>
      <c r="U100" s="4"/>
    </row>
    <row r="101" spans="1:23" ht="12.75" customHeight="1" x14ac:dyDescent="0.25">
      <c r="A101" s="127"/>
      <c r="B101" s="274" t="s">
        <v>101</v>
      </c>
      <c r="C101" s="274"/>
      <c r="D101" s="274"/>
      <c r="E101" s="274"/>
      <c r="F101" s="275" t="s">
        <v>102</v>
      </c>
      <c r="G101" s="277"/>
      <c r="H101" s="139"/>
      <c r="I101" s="141"/>
      <c r="J101" s="164"/>
      <c r="K101" s="165"/>
      <c r="L101" s="278"/>
      <c r="M101" s="154"/>
      <c r="N101" s="194"/>
      <c r="O101" s="151"/>
      <c r="P101" s="152"/>
      <c r="Q101" s="235"/>
      <c r="U101" s="277"/>
      <c r="V101" s="139"/>
    </row>
    <row r="102" spans="1:23" ht="12" customHeight="1" x14ac:dyDescent="0.25">
      <c r="A102" s="127"/>
      <c r="B102" s="274" t="s">
        <v>103</v>
      </c>
      <c r="C102" s="274"/>
      <c r="D102" s="274"/>
      <c r="E102" s="274"/>
      <c r="F102" s="275" t="s">
        <v>104</v>
      </c>
      <c r="G102" s="277"/>
      <c r="H102" s="139"/>
      <c r="I102" s="140"/>
      <c r="J102" s="164"/>
      <c r="K102" s="168"/>
      <c r="L102" s="272"/>
      <c r="M102" s="154"/>
      <c r="N102" s="141"/>
      <c r="O102" s="151"/>
      <c r="P102" s="152"/>
      <c r="Q102" s="235"/>
      <c r="U102" s="277"/>
      <c r="V102" s="139"/>
    </row>
    <row r="103" spans="1:23" ht="12" customHeight="1" x14ac:dyDescent="0.25">
      <c r="A103" s="127"/>
      <c r="B103" s="279"/>
      <c r="C103" s="280"/>
      <c r="D103" s="281"/>
      <c r="E103" s="282"/>
      <c r="F103" s="275"/>
      <c r="G103" s="148"/>
      <c r="H103" s="139"/>
      <c r="I103" s="140"/>
      <c r="J103" s="164"/>
      <c r="K103" s="168"/>
      <c r="L103" s="272"/>
      <c r="M103" s="154"/>
      <c r="N103" s="141"/>
      <c r="O103" s="151"/>
      <c r="P103" s="152"/>
      <c r="Q103" s="235"/>
    </row>
    <row r="104" spans="1:23" ht="12" customHeight="1" x14ac:dyDescent="0.25">
      <c r="A104" s="127"/>
      <c r="B104" s="279"/>
      <c r="C104" s="280"/>
      <c r="D104" s="283"/>
      <c r="E104" s="281"/>
      <c r="F104" s="281"/>
      <c r="G104" s="148"/>
      <c r="H104" s="163"/>
      <c r="I104" s="140"/>
      <c r="J104" s="164"/>
      <c r="K104" s="168"/>
      <c r="L104" s="191"/>
      <c r="M104" s="195"/>
      <c r="N104" s="196"/>
      <c r="O104" s="151"/>
      <c r="P104" s="152"/>
      <c r="Q104" s="235"/>
    </row>
    <row r="105" spans="1:23" ht="12" customHeight="1" x14ac:dyDescent="0.25">
      <c r="A105" s="127"/>
      <c r="B105" s="279"/>
      <c r="C105" s="280"/>
      <c r="D105" s="283"/>
      <c r="E105" s="281"/>
      <c r="F105" s="281"/>
      <c r="G105" s="148"/>
      <c r="H105" s="139"/>
      <c r="I105" s="140"/>
      <c r="J105" s="164"/>
      <c r="K105" s="168"/>
      <c r="L105" s="272"/>
      <c r="M105" s="154"/>
      <c r="N105" s="141"/>
      <c r="O105" s="151"/>
      <c r="P105" s="152"/>
      <c r="Q105" s="235"/>
    </row>
    <row r="106" spans="1:23" ht="12" customHeight="1" x14ac:dyDescent="0.25">
      <c r="A106" s="127"/>
      <c r="B106" s="279"/>
      <c r="C106" s="280"/>
      <c r="D106" s="283"/>
      <c r="E106" s="281"/>
      <c r="F106" s="281"/>
      <c r="G106" s="148"/>
      <c r="H106" s="139"/>
      <c r="I106" s="140"/>
      <c r="J106" s="164"/>
      <c r="K106" s="168"/>
      <c r="L106" s="272"/>
      <c r="M106" s="154"/>
      <c r="N106" s="141"/>
      <c r="O106" s="151"/>
      <c r="P106" s="152"/>
      <c r="Q106" s="235"/>
    </row>
    <row r="107" spans="1:23" ht="12" customHeight="1" x14ac:dyDescent="0.25">
      <c r="A107" s="127"/>
      <c r="B107" s="279"/>
      <c r="C107" s="280"/>
      <c r="D107" s="283"/>
      <c r="E107" s="281"/>
      <c r="F107" s="281"/>
      <c r="G107" s="148"/>
      <c r="H107" s="163"/>
      <c r="I107" s="140"/>
      <c r="J107" s="164"/>
      <c r="K107" s="168"/>
      <c r="L107" s="191"/>
      <c r="M107" s="195"/>
      <c r="N107" s="196"/>
      <c r="O107" s="151"/>
      <c r="P107" s="152"/>
      <c r="Q107" s="235"/>
    </row>
    <row r="108" spans="1:23" ht="12" customHeight="1" x14ac:dyDescent="0.25">
      <c r="A108" s="127"/>
      <c r="B108" s="279"/>
      <c r="C108" s="280"/>
      <c r="D108" s="284"/>
      <c r="E108" s="281"/>
      <c r="F108" s="275"/>
      <c r="G108" s="236"/>
      <c r="H108" s="139"/>
      <c r="I108" s="141"/>
      <c r="J108" s="164"/>
      <c r="K108" s="168"/>
      <c r="L108" s="191"/>
      <c r="M108" s="195"/>
      <c r="N108" s="196"/>
      <c r="O108" s="151"/>
      <c r="P108" s="152"/>
      <c r="Q108" s="235"/>
      <c r="W108" s="42"/>
    </row>
    <row r="109" spans="1:23" ht="12" customHeight="1" x14ac:dyDescent="0.25">
      <c r="A109" s="127"/>
      <c r="B109" s="279"/>
      <c r="C109" s="280"/>
      <c r="D109" s="284"/>
      <c r="E109" s="281"/>
      <c r="F109" s="281"/>
      <c r="G109" s="148"/>
      <c r="H109" s="139"/>
      <c r="I109" s="141"/>
      <c r="J109" s="164"/>
      <c r="K109" s="165"/>
      <c r="L109" s="166"/>
      <c r="M109" s="154"/>
      <c r="N109" s="144"/>
      <c r="O109" s="151"/>
      <c r="P109" s="232"/>
      <c r="Q109" s="233"/>
    </row>
    <row r="110" spans="1:23" ht="12" customHeight="1" x14ac:dyDescent="0.25">
      <c r="A110" s="285"/>
      <c r="B110" s="138"/>
      <c r="C110" s="162"/>
      <c r="D110" s="284"/>
      <c r="E110" s="281"/>
      <c r="F110" s="281"/>
      <c r="G110" s="148"/>
      <c r="H110" s="139"/>
      <c r="I110" s="140"/>
      <c r="J110" s="276"/>
      <c r="K110" s="141"/>
      <c r="L110" s="166"/>
      <c r="M110" s="154"/>
      <c r="N110" s="144"/>
      <c r="O110" s="151"/>
      <c r="P110" s="232"/>
      <c r="Q110" s="233"/>
    </row>
    <row r="111" spans="1:23" ht="12" customHeight="1" x14ac:dyDescent="0.25">
      <c r="A111" s="285"/>
      <c r="B111" s="138"/>
      <c r="C111" s="162"/>
      <c r="D111" s="284"/>
      <c r="E111" s="281"/>
      <c r="F111" s="281"/>
      <c r="G111" s="148"/>
      <c r="H111" s="163"/>
      <c r="I111" s="140"/>
      <c r="J111" s="276"/>
      <c r="K111" s="141"/>
      <c r="L111" s="166"/>
      <c r="M111" s="154"/>
      <c r="N111" s="144"/>
      <c r="O111" s="151"/>
      <c r="P111" s="232"/>
      <c r="Q111" s="233"/>
    </row>
    <row r="112" spans="1:23" ht="12" customHeight="1" x14ac:dyDescent="0.25">
      <c r="A112" s="285"/>
      <c r="B112" s="138"/>
      <c r="C112" s="162"/>
      <c r="D112" s="284"/>
      <c r="E112" s="281"/>
      <c r="F112" s="281"/>
      <c r="G112" s="148"/>
      <c r="H112" s="139"/>
      <c r="I112" s="140"/>
      <c r="J112" s="164"/>
      <c r="K112" s="168"/>
      <c r="L112" s="191"/>
      <c r="M112" s="195"/>
      <c r="N112" s="196"/>
      <c r="O112" s="151"/>
      <c r="P112" s="232"/>
      <c r="Q112" s="233"/>
    </row>
    <row r="113" spans="1:17" ht="12" customHeight="1" thickBot="1" x14ac:dyDescent="0.3">
      <c r="A113" s="285"/>
      <c r="B113" s="138"/>
      <c r="C113" s="162"/>
      <c r="D113" s="284"/>
      <c r="E113" s="281"/>
      <c r="F113" s="281"/>
      <c r="G113" s="286"/>
      <c r="H113" s="287"/>
      <c r="I113" s="288"/>
      <c r="J113" s="289"/>
      <c r="K113" s="290"/>
      <c r="L113" s="291"/>
      <c r="M113" s="292"/>
      <c r="N113" s="293"/>
      <c r="O113" s="294"/>
      <c r="P113" s="295"/>
      <c r="Q113" s="296"/>
    </row>
    <row r="114" spans="1:17" ht="12" customHeight="1" x14ac:dyDescent="0.25">
      <c r="A114" s="285"/>
      <c r="B114" s="138"/>
      <c r="C114" s="162"/>
      <c r="D114" s="297"/>
      <c r="E114" s="281"/>
      <c r="F114" s="281"/>
      <c r="G114" s="298" t="s">
        <v>105</v>
      </c>
      <c r="H114" s="299"/>
      <c r="I114" s="300"/>
      <c r="J114" s="4"/>
      <c r="K114" s="301">
        <f>SUMIF(M20:M113,M114,L20:L113)</f>
        <v>888</v>
      </c>
      <c r="L114" s="302"/>
      <c r="M114" s="303" t="s">
        <v>106</v>
      </c>
      <c r="N114" s="304">
        <f>SUM(P89:P113)</f>
        <v>106950.2</v>
      </c>
      <c r="O114" s="305"/>
      <c r="P114" s="305"/>
      <c r="Q114" s="306"/>
    </row>
    <row r="115" spans="1:17" ht="12" customHeight="1" thickBot="1" x14ac:dyDescent="0.3">
      <c r="A115" s="285"/>
      <c r="B115" s="138"/>
      <c r="C115" s="162"/>
      <c r="D115" s="297"/>
      <c r="E115" s="281"/>
      <c r="F115" s="281"/>
      <c r="G115" s="307"/>
      <c r="H115" s="308"/>
      <c r="I115" s="309"/>
      <c r="J115" s="288"/>
      <c r="K115" s="310">
        <f>SUMIF(M20:M113,M115,L20:L113)</f>
        <v>7131</v>
      </c>
      <c r="L115" s="311"/>
      <c r="M115" s="312" t="s">
        <v>107</v>
      </c>
      <c r="N115" s="313"/>
      <c r="O115" s="314"/>
      <c r="P115" s="314"/>
      <c r="Q115" s="315"/>
    </row>
    <row r="116" spans="1:17" ht="69" customHeight="1" thickBot="1" x14ac:dyDescent="0.3">
      <c r="A116" s="316" t="s">
        <v>108</v>
      </c>
      <c r="B116" s="317"/>
      <c r="C116" s="317"/>
      <c r="D116" s="317"/>
      <c r="E116" s="317"/>
      <c r="F116" s="317"/>
      <c r="G116" s="317"/>
      <c r="H116" s="317"/>
      <c r="I116" s="317"/>
      <c r="J116" s="317"/>
      <c r="K116" s="317"/>
      <c r="L116" s="317"/>
      <c r="M116" s="317"/>
      <c r="N116" s="317"/>
      <c r="O116" s="317"/>
      <c r="P116" s="317"/>
      <c r="Q116" s="318"/>
    </row>
    <row r="117" spans="1:17" x14ac:dyDescent="0.25">
      <c r="P117" s="320"/>
    </row>
    <row r="118" spans="1:17" x14ac:dyDescent="0.25">
      <c r="B118" s="71"/>
      <c r="I118" s="321"/>
    </row>
    <row r="119" spans="1:17" x14ac:dyDescent="0.25">
      <c r="I119" s="321"/>
    </row>
    <row r="120" spans="1:17" x14ac:dyDescent="0.25">
      <c r="I120" s="321"/>
    </row>
    <row r="121" spans="1:17" x14ac:dyDescent="0.25">
      <c r="I121" s="321"/>
    </row>
    <row r="122" spans="1:17" x14ac:dyDescent="0.25">
      <c r="I122" s="322"/>
    </row>
    <row r="123" spans="1:17" x14ac:dyDescent="0.25">
      <c r="I123" s="321"/>
    </row>
    <row r="124" spans="1:17" ht="17.25" customHeight="1" x14ac:dyDescent="0.25">
      <c r="I124" s="321"/>
    </row>
    <row r="125" spans="1:17" x14ac:dyDescent="0.25">
      <c r="I125" s="321"/>
    </row>
    <row r="126" spans="1:17" x14ac:dyDescent="0.25">
      <c r="I126" s="321"/>
    </row>
    <row r="127" spans="1:17" x14ac:dyDescent="0.25">
      <c r="I127" s="321"/>
    </row>
    <row r="128" spans="1:17" x14ac:dyDescent="0.25">
      <c r="I128" s="321"/>
    </row>
    <row r="133" spans="12:12" x14ac:dyDescent="0.25">
      <c r="L133" s="7"/>
    </row>
    <row r="134" spans="12:12" x14ac:dyDescent="0.25">
      <c r="L134" s="7"/>
    </row>
    <row r="135" spans="12:12" x14ac:dyDescent="0.25">
      <c r="L135" s="7"/>
    </row>
    <row r="137" spans="12:12" x14ac:dyDescent="0.25">
      <c r="L137" s="13"/>
    </row>
  </sheetData>
  <sheetProtection insertRows="0" deleteRows="0"/>
  <mergeCells count="115">
    <mergeCell ref="P113:Q113"/>
    <mergeCell ref="G114:I115"/>
    <mergeCell ref="K114:L114"/>
    <mergeCell ref="N114:Q115"/>
    <mergeCell ref="K115:L115"/>
    <mergeCell ref="A116:Q116"/>
    <mergeCell ref="P107:Q107"/>
    <mergeCell ref="P108:Q108"/>
    <mergeCell ref="P109:Q109"/>
    <mergeCell ref="P110:Q110"/>
    <mergeCell ref="P111:Q111"/>
    <mergeCell ref="P112:Q112"/>
    <mergeCell ref="P101:Q101"/>
    <mergeCell ref="P102:Q102"/>
    <mergeCell ref="P103:Q103"/>
    <mergeCell ref="P104:Q104"/>
    <mergeCell ref="P105:Q105"/>
    <mergeCell ref="P106:Q106"/>
    <mergeCell ref="P95:Q95"/>
    <mergeCell ref="P96:Q96"/>
    <mergeCell ref="P97:Q97"/>
    <mergeCell ref="P98:Q98"/>
    <mergeCell ref="P99:Q99"/>
    <mergeCell ref="P100:Q100"/>
    <mergeCell ref="P89:Q89"/>
    <mergeCell ref="P90:Q90"/>
    <mergeCell ref="P91:Q91"/>
    <mergeCell ref="P92:Q92"/>
    <mergeCell ref="P93:Q93"/>
    <mergeCell ref="P94:Q94"/>
    <mergeCell ref="P83:Q83"/>
    <mergeCell ref="P84:Q84"/>
    <mergeCell ref="P85:Q85"/>
    <mergeCell ref="P86:Q86"/>
    <mergeCell ref="P87:Q87"/>
    <mergeCell ref="P88:Q88"/>
    <mergeCell ref="P76:Q76"/>
    <mergeCell ref="P78:Q78"/>
    <mergeCell ref="P79:Q79"/>
    <mergeCell ref="P80:Q80"/>
    <mergeCell ref="P81:Q81"/>
    <mergeCell ref="P82:Q82"/>
    <mergeCell ref="J71:N71"/>
    <mergeCell ref="B73:F73"/>
    <mergeCell ref="C74:F74"/>
    <mergeCell ref="B75:F75"/>
    <mergeCell ref="A76:F76"/>
    <mergeCell ref="J76:L76"/>
    <mergeCell ref="N76:O76"/>
    <mergeCell ref="A59:Q59"/>
    <mergeCell ref="J61:Q61"/>
    <mergeCell ref="B63:I63"/>
    <mergeCell ref="P63:Q63"/>
    <mergeCell ref="J65:Q65"/>
    <mergeCell ref="J68:Q68"/>
    <mergeCell ref="P53:Q53"/>
    <mergeCell ref="P54:Q54"/>
    <mergeCell ref="P55:Q55"/>
    <mergeCell ref="P56:Q56"/>
    <mergeCell ref="P57:Q57"/>
    <mergeCell ref="G58:Q58"/>
    <mergeCell ref="P47:Q47"/>
    <mergeCell ref="P48:Q48"/>
    <mergeCell ref="P49:Q49"/>
    <mergeCell ref="P50:Q50"/>
    <mergeCell ref="P51:Q51"/>
    <mergeCell ref="P52:Q52"/>
    <mergeCell ref="P41:Q41"/>
    <mergeCell ref="P42:Q42"/>
    <mergeCell ref="P43:Q43"/>
    <mergeCell ref="P44:Q44"/>
    <mergeCell ref="P45:Q45"/>
    <mergeCell ref="P46:Q46"/>
    <mergeCell ref="P35:Q35"/>
    <mergeCell ref="P36:Q36"/>
    <mergeCell ref="P37:Q37"/>
    <mergeCell ref="P38:Q38"/>
    <mergeCell ref="P39:Q39"/>
    <mergeCell ref="P40:Q40"/>
    <mergeCell ref="P29:Q29"/>
    <mergeCell ref="P30:Q30"/>
    <mergeCell ref="P31:Q31"/>
    <mergeCell ref="P32:Q32"/>
    <mergeCell ref="P33:Q33"/>
    <mergeCell ref="P34:Q34"/>
    <mergeCell ref="P23:Q23"/>
    <mergeCell ref="P24:Q24"/>
    <mergeCell ref="P25:Q25"/>
    <mergeCell ref="P26:Q26"/>
    <mergeCell ref="P27:Q27"/>
    <mergeCell ref="P28:Q28"/>
    <mergeCell ref="J18:L18"/>
    <mergeCell ref="N18:O18"/>
    <mergeCell ref="P18:Q18"/>
    <mergeCell ref="P20:Q20"/>
    <mergeCell ref="P21:Q21"/>
    <mergeCell ref="P22:Q22"/>
    <mergeCell ref="B15:F15"/>
    <mergeCell ref="G15:I15"/>
    <mergeCell ref="C16:F16"/>
    <mergeCell ref="B17:F17"/>
    <mergeCell ref="A18:F18"/>
    <mergeCell ref="G18:I18"/>
    <mergeCell ref="A7:I7"/>
    <mergeCell ref="J7:Q7"/>
    <mergeCell ref="B9:I9"/>
    <mergeCell ref="J10:Q10"/>
    <mergeCell ref="A11:I11"/>
    <mergeCell ref="J13:N13"/>
    <mergeCell ref="A1:Q1"/>
    <mergeCell ref="A3:I3"/>
    <mergeCell ref="J3:Q3"/>
    <mergeCell ref="B5:I5"/>
    <mergeCell ref="P5:Q5"/>
    <mergeCell ref="B6:I6"/>
  </mergeCells>
  <phoneticPr fontId="3" type="noConversion"/>
  <conditionalFormatting sqref="P56 P60:P101 P114:P115 P49 P51 P105:P111 P2:P47 P117:P1048576">
    <cfRule type="cellIs" dxfId="8" priority="9" operator="equal">
      <formula>0</formula>
    </cfRule>
  </conditionalFormatting>
  <conditionalFormatting sqref="P112:P113">
    <cfRule type="cellIs" dxfId="7" priority="8" operator="equal">
      <formula>0</formula>
    </cfRule>
  </conditionalFormatting>
  <conditionalFormatting sqref="P48">
    <cfRule type="cellIs" dxfId="6" priority="7" operator="equal">
      <formula>0</formula>
    </cfRule>
  </conditionalFormatting>
  <conditionalFormatting sqref="P1">
    <cfRule type="cellIs" dxfId="5" priority="6" operator="equal">
      <formula>0</formula>
    </cfRule>
  </conditionalFormatting>
  <conditionalFormatting sqref="P57">
    <cfRule type="cellIs" dxfId="4" priority="5" operator="equal">
      <formula>0</formula>
    </cfRule>
  </conditionalFormatting>
  <conditionalFormatting sqref="P55">
    <cfRule type="cellIs" dxfId="3" priority="4" operator="equal">
      <formula>0</formula>
    </cfRule>
  </conditionalFormatting>
  <conditionalFormatting sqref="P50">
    <cfRule type="cellIs" dxfId="2" priority="3" operator="equal">
      <formula>0</formula>
    </cfRule>
  </conditionalFormatting>
  <conditionalFormatting sqref="P52:P54">
    <cfRule type="cellIs" dxfId="1" priority="2" operator="equal">
      <formula>0</formula>
    </cfRule>
  </conditionalFormatting>
  <conditionalFormatting sqref="P102:P104">
    <cfRule type="cellIs" dxfId="0" priority="1" operator="equal">
      <formula>0</formula>
    </cfRule>
  </conditionalFormatting>
  <pageMargins left="0.34375" right="0.42" top="0.32" bottom="0.16" header="0.11" footer="0.04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invoice</vt:lpstr>
      <vt:lpstr>invoice!Print_Area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김성현</dc:creator>
  <cp:lastModifiedBy>김성현</cp:lastModifiedBy>
  <dcterms:created xsi:type="dcterms:W3CDTF">2026-07-02T04:54:59Z</dcterms:created>
  <dcterms:modified xsi:type="dcterms:W3CDTF">2026-07-02T04:55:59Z</dcterms:modified>
</cp:coreProperties>
</file>